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IR SABIR\Desktop\"/>
    </mc:Choice>
  </mc:AlternateContent>
  <xr:revisionPtr revIDLastSave="0" documentId="8_{F055DC7B-4691-4598-B3E1-78155423195D}" xr6:coauthVersionLast="47" xr6:coauthVersionMax="47" xr10:uidLastSave="{00000000-0000-0000-0000-000000000000}"/>
  <bookViews>
    <workbookView xWindow="-120" yWindow="-120" windowWidth="29040" windowHeight="16440" xr2:uid="{B1A5DF93-7E8B-461B-9930-7D3909189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L252" i="1"/>
  <c r="K252" i="1"/>
  <c r="G252" i="1"/>
  <c r="I251" i="1"/>
  <c r="I250" i="1"/>
  <c r="I249" i="1"/>
  <c r="I248" i="1"/>
  <c r="I247" i="1"/>
  <c r="I246" i="1"/>
  <c r="I245" i="1"/>
  <c r="I252" i="1" s="1"/>
  <c r="L243" i="1"/>
  <c r="L253" i="1" s="1"/>
  <c r="K243" i="1"/>
  <c r="K253" i="1" s="1"/>
  <c r="G243" i="1"/>
  <c r="I242" i="1"/>
  <c r="I241" i="1"/>
  <c r="I240" i="1"/>
  <c r="I239" i="1"/>
  <c r="I238" i="1"/>
  <c r="I237" i="1"/>
  <c r="I236" i="1"/>
  <c r="I243" i="1" s="1"/>
  <c r="L234" i="1"/>
  <c r="L244" i="1" s="1"/>
  <c r="K234" i="1"/>
  <c r="K244" i="1" s="1"/>
  <c r="G234" i="1"/>
  <c r="I233" i="1"/>
  <c r="I234" i="1" s="1"/>
  <c r="I232" i="1"/>
  <c r="I231" i="1"/>
  <c r="I230" i="1"/>
  <c r="I229" i="1"/>
  <c r="I228" i="1"/>
  <c r="I227" i="1"/>
  <c r="L224" i="1"/>
  <c r="K224" i="1"/>
  <c r="G224" i="1"/>
  <c r="I223" i="1"/>
  <c r="I222" i="1"/>
  <c r="I221" i="1"/>
  <c r="I220" i="1"/>
  <c r="I219" i="1"/>
  <c r="I218" i="1"/>
  <c r="I217" i="1"/>
  <c r="I224" i="1" s="1"/>
  <c r="L214" i="1"/>
  <c r="K214" i="1"/>
  <c r="G214" i="1"/>
  <c r="I213" i="1"/>
  <c r="I212" i="1"/>
  <c r="I211" i="1"/>
  <c r="I210" i="1"/>
  <c r="I209" i="1"/>
  <c r="I208" i="1"/>
  <c r="I207" i="1"/>
  <c r="I214" i="1" s="1"/>
  <c r="L204" i="1"/>
  <c r="K204" i="1"/>
  <c r="G204" i="1"/>
  <c r="I203" i="1"/>
  <c r="I202" i="1"/>
  <c r="I201" i="1"/>
  <c r="I200" i="1"/>
  <c r="I199" i="1"/>
  <c r="I198" i="1"/>
  <c r="I197" i="1"/>
  <c r="I204" i="1" s="1"/>
  <c r="L194" i="1"/>
  <c r="K194" i="1"/>
  <c r="G194" i="1"/>
  <c r="I193" i="1"/>
  <c r="I194" i="1" s="1"/>
  <c r="I192" i="1"/>
  <c r="I191" i="1"/>
  <c r="I190" i="1"/>
  <c r="I189" i="1"/>
  <c r="I188" i="1"/>
  <c r="I187" i="1"/>
  <c r="L184" i="1"/>
  <c r="K184" i="1"/>
  <c r="G184" i="1"/>
  <c r="I183" i="1"/>
  <c r="I182" i="1"/>
  <c r="I181" i="1"/>
  <c r="I180" i="1"/>
  <c r="I179" i="1"/>
  <c r="I178" i="1"/>
  <c r="I177" i="1"/>
  <c r="I184" i="1" s="1"/>
  <c r="L174" i="1"/>
  <c r="K174" i="1"/>
  <c r="G174" i="1"/>
  <c r="I173" i="1"/>
  <c r="I172" i="1"/>
  <c r="I171" i="1"/>
  <c r="I170" i="1"/>
  <c r="I169" i="1"/>
  <c r="I168" i="1"/>
  <c r="I167" i="1"/>
  <c r="I174" i="1" s="1"/>
  <c r="L164" i="1"/>
  <c r="K164" i="1"/>
  <c r="G164" i="1"/>
  <c r="I163" i="1"/>
  <c r="I162" i="1"/>
  <c r="I161" i="1"/>
  <c r="I160" i="1"/>
  <c r="I164" i="1" s="1"/>
  <c r="I159" i="1"/>
  <c r="I158" i="1"/>
  <c r="L154" i="1"/>
  <c r="K154" i="1"/>
  <c r="G154" i="1"/>
  <c r="I153" i="1"/>
  <c r="I152" i="1"/>
  <c r="I154" i="1" s="1"/>
  <c r="I151" i="1"/>
  <c r="I150" i="1"/>
  <c r="I149" i="1"/>
  <c r="I148" i="1"/>
  <c r="I147" i="1"/>
  <c r="L144" i="1"/>
  <c r="K144" i="1"/>
  <c r="I144" i="1"/>
  <c r="G144" i="1"/>
  <c r="I143" i="1"/>
  <c r="I142" i="1"/>
  <c r="I141" i="1"/>
  <c r="I140" i="1"/>
  <c r="I139" i="1"/>
  <c r="I138" i="1"/>
  <c r="I137" i="1"/>
  <c r="L134" i="1"/>
  <c r="K134" i="1"/>
  <c r="G134" i="1"/>
  <c r="I133" i="1"/>
  <c r="I132" i="1"/>
  <c r="I131" i="1"/>
  <c r="I130" i="1"/>
  <c r="I129" i="1"/>
  <c r="I128" i="1"/>
  <c r="I127" i="1"/>
  <c r="I134" i="1" s="1"/>
  <c r="L124" i="1"/>
  <c r="K124" i="1"/>
  <c r="G124" i="1"/>
  <c r="I123" i="1"/>
  <c r="I122" i="1"/>
  <c r="I121" i="1"/>
  <c r="I120" i="1"/>
  <c r="I119" i="1"/>
  <c r="I118" i="1"/>
  <c r="I117" i="1"/>
  <c r="I124" i="1" s="1"/>
  <c r="L114" i="1"/>
  <c r="K114" i="1"/>
  <c r="G114" i="1"/>
  <c r="I113" i="1"/>
  <c r="I112" i="1"/>
  <c r="I114" i="1" s="1"/>
  <c r="I111" i="1"/>
  <c r="I110" i="1"/>
  <c r="I109" i="1"/>
  <c r="I108" i="1"/>
  <c r="I107" i="1"/>
  <c r="L104" i="1"/>
  <c r="K104" i="1"/>
  <c r="I104" i="1"/>
  <c r="G104" i="1"/>
  <c r="I103" i="1"/>
  <c r="I102" i="1"/>
  <c r="I101" i="1"/>
  <c r="I100" i="1"/>
  <c r="I99" i="1"/>
  <c r="I98" i="1"/>
  <c r="I97" i="1"/>
  <c r="L94" i="1"/>
  <c r="K94" i="1"/>
  <c r="G94" i="1"/>
  <c r="I93" i="1"/>
  <c r="I92" i="1"/>
  <c r="I91" i="1"/>
  <c r="I90" i="1"/>
  <c r="I89" i="1"/>
  <c r="I88" i="1"/>
  <c r="I87" i="1"/>
  <c r="I94" i="1" s="1"/>
  <c r="L84" i="1"/>
  <c r="K84" i="1"/>
  <c r="G84" i="1"/>
  <c r="I83" i="1"/>
  <c r="I82" i="1"/>
  <c r="I81" i="1"/>
  <c r="I80" i="1"/>
  <c r="I79" i="1"/>
  <c r="I78" i="1"/>
  <c r="I77" i="1"/>
  <c r="I84" i="1" s="1"/>
  <c r="L74" i="1"/>
  <c r="K74" i="1"/>
  <c r="G74" i="1"/>
  <c r="I73" i="1"/>
  <c r="I72" i="1"/>
  <c r="I74" i="1" s="1"/>
  <c r="I71" i="1"/>
  <c r="I70" i="1"/>
  <c r="I69" i="1"/>
  <c r="I68" i="1"/>
  <c r="I67" i="1"/>
  <c r="L64" i="1"/>
  <c r="K64" i="1"/>
  <c r="I64" i="1"/>
  <c r="G64" i="1"/>
  <c r="I63" i="1"/>
  <c r="I62" i="1"/>
  <c r="I60" i="1"/>
  <c r="I59" i="1"/>
  <c r="I58" i="1"/>
  <c r="A58" i="1"/>
  <c r="A59" i="1" s="1"/>
  <c r="A60" i="1" s="1"/>
  <c r="A61" i="1" s="1"/>
  <c r="A62" i="1" s="1"/>
  <c r="A63" i="1" s="1"/>
  <c r="I57" i="1"/>
  <c r="A57" i="1"/>
  <c r="L54" i="1"/>
  <c r="K54" i="1"/>
  <c r="G54" i="1"/>
  <c r="I53" i="1"/>
  <c r="I52" i="1"/>
  <c r="I51" i="1"/>
  <c r="I50" i="1"/>
  <c r="I49" i="1"/>
  <c r="I48" i="1"/>
  <c r="A48" i="1"/>
  <c r="A49" i="1" s="1"/>
  <c r="A50" i="1" s="1"/>
  <c r="A51" i="1" s="1"/>
  <c r="A52" i="1" s="1"/>
  <c r="A53" i="1" s="1"/>
  <c r="I47" i="1"/>
  <c r="I54" i="1" s="1"/>
  <c r="L45" i="1"/>
  <c r="K45" i="1"/>
  <c r="G45" i="1"/>
  <c r="I44" i="1"/>
  <c r="I43" i="1"/>
  <c r="I42" i="1"/>
  <c r="I41" i="1"/>
  <c r="I40" i="1"/>
  <c r="I39" i="1"/>
  <c r="I38" i="1"/>
  <c r="I45" i="1" s="1"/>
  <c r="L35" i="1"/>
  <c r="K35" i="1"/>
  <c r="G35" i="1"/>
  <c r="I34" i="1"/>
  <c r="I33" i="1"/>
  <c r="I35" i="1" s="1"/>
  <c r="I32" i="1"/>
  <c r="I31" i="1"/>
  <c r="I30" i="1"/>
  <c r="I29" i="1"/>
  <c r="I28" i="1"/>
  <c r="L25" i="1"/>
  <c r="K25" i="1"/>
  <c r="I25" i="1"/>
  <c r="G25" i="1"/>
  <c r="I24" i="1"/>
  <c r="I23" i="1"/>
  <c r="I22" i="1"/>
  <c r="I21" i="1"/>
  <c r="I20" i="1"/>
  <c r="I19" i="1"/>
  <c r="I18" i="1"/>
  <c r="L16" i="1"/>
  <c r="L26" i="1" s="1"/>
  <c r="L36" i="1" s="1"/>
  <c r="L46" i="1" s="1"/>
  <c r="L55" i="1" s="1"/>
  <c r="L65" i="1" s="1"/>
  <c r="L75" i="1" s="1"/>
  <c r="L85" i="1" s="1"/>
  <c r="L95" i="1" s="1"/>
  <c r="L105" i="1" s="1"/>
  <c r="L115" i="1" s="1"/>
  <c r="L125" i="1" s="1"/>
  <c r="L135" i="1" s="1"/>
  <c r="L145" i="1" s="1"/>
  <c r="L155" i="1" s="1"/>
  <c r="L165" i="1" s="1"/>
  <c r="L175" i="1" s="1"/>
  <c r="L185" i="1" s="1"/>
  <c r="L195" i="1" s="1"/>
  <c r="L205" i="1" s="1"/>
  <c r="L215" i="1" s="1"/>
  <c r="L225" i="1" s="1"/>
  <c r="L235" i="1" s="1"/>
  <c r="K26" i="1"/>
  <c r="K36" i="1" s="1"/>
  <c r="K46" i="1" s="1"/>
  <c r="K55" i="1" s="1"/>
  <c r="K65" i="1" s="1"/>
  <c r="K75" i="1" s="1"/>
  <c r="K85" i="1" s="1"/>
  <c r="K95" i="1" s="1"/>
  <c r="K105" i="1" s="1"/>
  <c r="K115" i="1" s="1"/>
  <c r="K125" i="1" s="1"/>
  <c r="K135" i="1" s="1"/>
  <c r="K145" i="1" s="1"/>
  <c r="K155" i="1" s="1"/>
  <c r="K165" i="1" s="1"/>
  <c r="K175" i="1" s="1"/>
  <c r="K185" i="1" s="1"/>
  <c r="K195" i="1" s="1"/>
  <c r="K205" i="1" s="1"/>
  <c r="K215" i="1" s="1"/>
  <c r="K225" i="1" s="1"/>
  <c r="K235" i="1" s="1"/>
  <c r="G16" i="1"/>
  <c r="G26" i="1" s="1"/>
  <c r="G36" i="1" s="1"/>
  <c r="G46" i="1" s="1"/>
  <c r="G55" i="1" s="1"/>
  <c r="G65" i="1" s="1"/>
  <c r="G75" i="1" s="1"/>
  <c r="G85" i="1" s="1"/>
  <c r="G95" i="1" s="1"/>
  <c r="G105" i="1" s="1"/>
  <c r="G115" i="1" s="1"/>
  <c r="G125" i="1" s="1"/>
  <c r="G135" i="1" s="1"/>
  <c r="G145" i="1" s="1"/>
  <c r="G155" i="1" s="1"/>
  <c r="G165" i="1" s="1"/>
  <c r="G175" i="1" s="1"/>
  <c r="G185" i="1" s="1"/>
  <c r="G195" i="1" s="1"/>
  <c r="G205" i="1" s="1"/>
  <c r="G215" i="1" s="1"/>
  <c r="G225" i="1" s="1"/>
  <c r="G235" i="1" s="1"/>
  <c r="G244" i="1" s="1"/>
  <c r="G253" i="1" s="1"/>
  <c r="L15" i="1"/>
  <c r="K15" i="1"/>
  <c r="G15" i="1"/>
  <c r="I14" i="1"/>
  <c r="I13" i="1"/>
  <c r="I12" i="1"/>
  <c r="I11" i="1"/>
  <c r="I10" i="1"/>
  <c r="I9" i="1"/>
  <c r="I8" i="1"/>
  <c r="I15" i="1" s="1"/>
  <c r="I16" i="1" s="1"/>
  <c r="I26" i="1" s="1"/>
  <c r="I36" i="1" s="1"/>
  <c r="I46" i="1" l="1"/>
  <c r="I55" i="1" s="1"/>
  <c r="I65" i="1" s="1"/>
  <c r="I75" i="1" s="1"/>
  <c r="I85" i="1" s="1"/>
  <c r="I95" i="1" s="1"/>
  <c r="I105" i="1" s="1"/>
  <c r="I115" i="1" s="1"/>
  <c r="I125" i="1" s="1"/>
  <c r="I135" i="1" s="1"/>
  <c r="I145" i="1" s="1"/>
  <c r="I155" i="1" s="1"/>
  <c r="I165" i="1" s="1"/>
  <c r="I175" i="1" s="1"/>
  <c r="I185" i="1" s="1"/>
  <c r="I195" i="1" s="1"/>
  <c r="I205" i="1" s="1"/>
  <c r="I215" i="1" s="1"/>
  <c r="I225" i="1" s="1"/>
  <c r="I235" i="1" s="1"/>
  <c r="I244" i="1" s="1"/>
  <c r="I253" i="1" s="1"/>
</calcChain>
</file>

<file path=xl/sharedStrings.xml><?xml version="1.0" encoding="utf-8"?>
<sst xmlns="http://schemas.openxmlformats.org/spreadsheetml/2006/main" count="91" uniqueCount="67">
  <si>
    <t>FICHE DE SUIVI DES LIVRAISONS D'ALIMENT</t>
  </si>
  <si>
    <t xml:space="preserve">LOT N° </t>
  </si>
  <si>
    <t>FERME :</t>
  </si>
  <si>
    <t>AGE</t>
  </si>
  <si>
    <t>DATE</t>
  </si>
  <si>
    <t>SEM</t>
  </si>
  <si>
    <t>DESIGNATION</t>
  </si>
  <si>
    <t>FOURNISSEUR</t>
  </si>
  <si>
    <t>N° BL</t>
  </si>
  <si>
    <t>QTE</t>
  </si>
  <si>
    <t>PRIX</t>
  </si>
  <si>
    <t>MONTANT</t>
  </si>
  <si>
    <t>MALE</t>
  </si>
  <si>
    <t>FEMELLE</t>
  </si>
  <si>
    <t>N° BR</t>
  </si>
  <si>
    <t>S1</t>
  </si>
  <si>
    <t>TOTAL S1</t>
  </si>
  <si>
    <t>CUMUL</t>
  </si>
  <si>
    <t>S2</t>
  </si>
  <si>
    <t>TOTAL S2</t>
  </si>
  <si>
    <t>S3</t>
  </si>
  <si>
    <t>TOTAL S3</t>
  </si>
  <si>
    <t xml:space="preserve"> </t>
  </si>
  <si>
    <t>S4</t>
  </si>
  <si>
    <t>TOTAL S4</t>
  </si>
  <si>
    <t>S5</t>
  </si>
  <si>
    <t>TOTAL S5</t>
  </si>
  <si>
    <t>S6</t>
  </si>
  <si>
    <t>TOTAL S6</t>
  </si>
  <si>
    <t>S7</t>
  </si>
  <si>
    <t>TOTAL S7</t>
  </si>
  <si>
    <t>S8</t>
  </si>
  <si>
    <t>TOTAL S8</t>
  </si>
  <si>
    <t>S9</t>
  </si>
  <si>
    <t>TOTAL S9</t>
  </si>
  <si>
    <t>S10</t>
  </si>
  <si>
    <t>TOTAL S10</t>
  </si>
  <si>
    <t>S11</t>
  </si>
  <si>
    <t>TOTAL S11</t>
  </si>
  <si>
    <t>S12</t>
  </si>
  <si>
    <t>TOTAL S12</t>
  </si>
  <si>
    <t>S13</t>
  </si>
  <si>
    <t>TOTAL S13</t>
  </si>
  <si>
    <t>S14</t>
  </si>
  <si>
    <t>TOTAL S14</t>
  </si>
  <si>
    <t>S15</t>
  </si>
  <si>
    <t>TOTAL S15</t>
  </si>
  <si>
    <t>S16</t>
  </si>
  <si>
    <t>TOTAL S16</t>
  </si>
  <si>
    <t>S17</t>
  </si>
  <si>
    <t>TOTAL S17</t>
  </si>
  <si>
    <t>S18</t>
  </si>
  <si>
    <t>TOTAL S18</t>
  </si>
  <si>
    <t>S19</t>
  </si>
  <si>
    <t>TOTAL S19</t>
  </si>
  <si>
    <t>S20</t>
  </si>
  <si>
    <t>TOTAL S20</t>
  </si>
  <si>
    <t>S21</t>
  </si>
  <si>
    <t>TOTAL S21</t>
  </si>
  <si>
    <t>S22</t>
  </si>
  <si>
    <t>TOTAL S22</t>
  </si>
  <si>
    <t>S23</t>
  </si>
  <si>
    <t>TOTAL S23</t>
  </si>
  <si>
    <t>S24</t>
  </si>
  <si>
    <t>TOTAL S24</t>
  </si>
  <si>
    <t>S25</t>
  </si>
  <si>
    <t>TOTAL 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</si>
</sst>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d/m/yy;@"/>
    <numFmt numFmtId="166" formatCode="_-* #,##0\ _€_-;\-* #,##0\ _€_-;_-* &quot;-&quot;??\ _€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b/>
      <sz val="8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/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7" fillId="0" borderId="3" xfId="0" applyFont="1" applyBorder="1"/>
    <xf numFmtId="165" fontId="7" fillId="0" borderId="4" xfId="0" applyNumberFormat="1" applyFont="1" applyBorder="1"/>
    <xf numFmtId="0" fontId="5" fillId="0" borderId="5" xfId="0" applyFont="1" applyBorder="1"/>
    <xf numFmtId="0" fontId="7" fillId="2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66" fontId="7" fillId="2" borderId="4" xfId="1" applyNumberFormat="1" applyFont="1" applyFill="1" applyBorder="1" applyAlignment="1">
      <alignment horizontal="center"/>
    </xf>
    <xf numFmtId="43" fontId="7" fillId="2" borderId="4" xfId="1" applyFont="1" applyFill="1" applyBorder="1" applyAlignment="1">
      <alignment horizontal="center"/>
    </xf>
    <xf numFmtId="0" fontId="6" fillId="0" borderId="4" xfId="0" applyFont="1" applyBorder="1"/>
    <xf numFmtId="0" fontId="6" fillId="0" borderId="6" xfId="0" applyFont="1" applyBorder="1"/>
    <xf numFmtId="0" fontId="7" fillId="0" borderId="4" xfId="0" applyFont="1" applyBorder="1" applyAlignment="1">
      <alignment horizontal="center"/>
    </xf>
    <xf numFmtId="14" fontId="0" fillId="0" borderId="0" xfId="0" applyNumberFormat="1"/>
    <xf numFmtId="0" fontId="7" fillId="2" borderId="7" xfId="0" applyFont="1" applyFill="1" applyBorder="1" applyAlignment="1">
      <alignment horizontal="center"/>
    </xf>
    <xf numFmtId="166" fontId="7" fillId="2" borderId="7" xfId="1" quotePrefix="1" applyNumberFormat="1" applyFont="1" applyFill="1" applyBorder="1" applyAlignment="1">
      <alignment horizontal="center"/>
    </xf>
    <xf numFmtId="43" fontId="8" fillId="2" borderId="7" xfId="1" quotePrefix="1" applyFont="1" applyFill="1" applyBorder="1" applyAlignment="1">
      <alignment horizontal="center"/>
    </xf>
    <xf numFmtId="43" fontId="7" fillId="2" borderId="7" xfId="1" applyFont="1" applyFill="1" applyBorder="1" applyAlignment="1">
      <alignment horizontal="center"/>
    </xf>
    <xf numFmtId="0" fontId="7" fillId="0" borderId="8" xfId="0" applyFont="1" applyBorder="1"/>
    <xf numFmtId="0" fontId="7" fillId="0" borderId="7" xfId="0" applyFont="1" applyBorder="1"/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6" fontId="7" fillId="2" borderId="3" xfId="1" applyNumberFormat="1" applyFont="1" applyFill="1" applyBorder="1" applyAlignment="1">
      <alignment horizontal="center"/>
    </xf>
    <xf numFmtId="43" fontId="7" fillId="2" borderId="3" xfId="1" applyFont="1" applyFill="1" applyBorder="1" applyAlignment="1">
      <alignment horizontal="center"/>
    </xf>
    <xf numFmtId="0" fontId="7" fillId="0" borderId="9" xfId="0" applyFont="1" applyBorder="1"/>
    <xf numFmtId="0" fontId="7" fillId="0" borderId="3" xfId="0" applyFont="1" applyBorder="1" applyAlignment="1">
      <alignment horizontal="center"/>
    </xf>
    <xf numFmtId="166" fontId="7" fillId="0" borderId="3" xfId="1" applyNumberFormat="1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0" fontId="0" fillId="0" borderId="10" xfId="0" applyBorder="1"/>
    <xf numFmtId="0" fontId="5" fillId="0" borderId="11" xfId="0" applyFont="1" applyBorder="1"/>
    <xf numFmtId="0" fontId="7" fillId="0" borderId="10" xfId="0" applyFont="1" applyBorder="1" applyAlignment="1">
      <alignment horizontal="center"/>
    </xf>
    <xf numFmtId="166" fontId="7" fillId="0" borderId="10" xfId="1" applyNumberFormat="1" applyFont="1" applyBorder="1" applyAlignment="1">
      <alignment horizontal="center"/>
    </xf>
    <xf numFmtId="43" fontId="7" fillId="0" borderId="7" xfId="1" applyFont="1" applyBorder="1" applyAlignment="1">
      <alignment horizontal="center"/>
    </xf>
    <xf numFmtId="0" fontId="7" fillId="0" borderId="12" xfId="0" applyFont="1" applyBorder="1"/>
    <xf numFmtId="0" fontId="7" fillId="0" borderId="11" xfId="0" applyFont="1" applyBorder="1"/>
    <xf numFmtId="0" fontId="5" fillId="0" borderId="13" xfId="0" applyFont="1" applyBorder="1"/>
    <xf numFmtId="0" fontId="0" fillId="0" borderId="14" xfId="0" applyBorder="1"/>
    <xf numFmtId="0" fontId="7" fillId="0" borderId="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43" fontId="7" fillId="0" borderId="14" xfId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5" xfId="0" applyFont="1" applyBorder="1"/>
    <xf numFmtId="0" fontId="5" fillId="3" borderId="13" xfId="0" applyFont="1" applyFill="1" applyBorder="1"/>
    <xf numFmtId="0" fontId="0" fillId="3" borderId="14" xfId="0" applyFill="1" applyBorder="1"/>
    <xf numFmtId="0" fontId="7" fillId="3" borderId="1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166" fontId="6" fillId="3" borderId="1" xfId="1" applyNumberFormat="1" applyFont="1" applyFill="1" applyBorder="1" applyAlignment="1">
      <alignment horizontal="center"/>
    </xf>
    <xf numFmtId="43" fontId="7" fillId="3" borderId="1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0" fontId="7" fillId="0" borderId="14" xfId="0" applyFont="1" applyBorder="1"/>
    <xf numFmtId="0" fontId="7" fillId="0" borderId="4" xfId="0" applyFont="1" applyBorder="1"/>
    <xf numFmtId="0" fontId="5" fillId="0" borderId="15" xfId="0" applyFont="1" applyBorder="1"/>
    <xf numFmtId="166" fontId="7" fillId="2" borderId="7" xfId="1" applyNumberFormat="1" applyFont="1" applyFill="1" applyBorder="1" applyAlignment="1">
      <alignment horizontal="center"/>
    </xf>
    <xf numFmtId="0" fontId="7" fillId="2" borderId="7" xfId="0" applyFont="1" applyFill="1" applyBorder="1"/>
    <xf numFmtId="0" fontId="7" fillId="2" borderId="4" xfId="0" applyFont="1" applyFill="1" applyBorder="1"/>
    <xf numFmtId="0" fontId="7" fillId="2" borderId="0" xfId="0" applyFont="1" applyFill="1"/>
    <xf numFmtId="0" fontId="7" fillId="2" borderId="3" xfId="0" applyFont="1" applyFill="1" applyBorder="1"/>
    <xf numFmtId="164" fontId="0" fillId="0" borderId="0" xfId="0" applyNumberFormat="1"/>
    <xf numFmtId="43" fontId="7" fillId="0" borderId="10" xfId="1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Alignment="1">
      <alignment horizontal="center"/>
    </xf>
    <xf numFmtId="43" fontId="7" fillId="0" borderId="0" xfId="1" applyFont="1" applyAlignment="1">
      <alignment horizontal="center"/>
    </xf>
    <xf numFmtId="166" fontId="7" fillId="0" borderId="4" xfId="1" applyNumberFormat="1" applyFont="1" applyBorder="1" applyAlignment="1">
      <alignment horizontal="center"/>
    </xf>
    <xf numFmtId="43" fontId="7" fillId="0" borderId="4" xfId="1" applyFont="1" applyBorder="1" applyAlignment="1">
      <alignment horizontal="center"/>
    </xf>
    <xf numFmtId="43" fontId="7" fillId="0" borderId="7" xfId="1" applyFont="1" applyFill="1" applyBorder="1" applyAlignment="1">
      <alignment horizontal="center"/>
    </xf>
    <xf numFmtId="43" fontId="8" fillId="0" borderId="3" xfId="1" applyFont="1" applyBorder="1" applyAlignment="1">
      <alignment horizontal="center"/>
    </xf>
    <xf numFmtId="0" fontId="5" fillId="0" borderId="16" xfId="0" applyFont="1" applyBorder="1"/>
    <xf numFmtId="43" fontId="8" fillId="2" borderId="7" xfId="1" applyFont="1" applyFill="1" applyBorder="1" applyAlignment="1">
      <alignment horizontal="center"/>
    </xf>
    <xf numFmtId="2" fontId="7" fillId="0" borderId="0" xfId="0" applyNumberFormat="1" applyFont="1"/>
    <xf numFmtId="166" fontId="7" fillId="0" borderId="7" xfId="1" applyNumberFormat="1" applyFont="1" applyFill="1" applyBorder="1" applyAlignment="1">
      <alignment horizontal="center"/>
    </xf>
    <xf numFmtId="166" fontId="7" fillId="0" borderId="7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0" applyNumberFormat="1"/>
    <xf numFmtId="0" fontId="7" fillId="2" borderId="15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166" fontId="7" fillId="2" borderId="15" xfId="1" applyNumberFormat="1" applyFont="1" applyFill="1" applyBorder="1" applyAlignment="1">
      <alignment horizontal="center"/>
    </xf>
    <xf numFmtId="43" fontId="8" fillId="2" borderId="3" xfId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66" fontId="3" fillId="0" borderId="10" xfId="1" applyNumberFormat="1" applyFont="1" applyBorder="1" applyAlignment="1">
      <alignment horizontal="center"/>
    </xf>
    <xf numFmtId="0" fontId="7" fillId="2" borderId="11" xfId="0" applyFont="1" applyFill="1" applyBorder="1"/>
    <xf numFmtId="0" fontId="7" fillId="0" borderId="1" xfId="0" applyFont="1" applyBorder="1" applyAlignment="1">
      <alignment horizontal="center"/>
    </xf>
    <xf numFmtId="43" fontId="7" fillId="3" borderId="1" xfId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6" fontId="7" fillId="2" borderId="7" xfId="0" applyNumberFormat="1" applyFont="1" applyFill="1" applyBorder="1" applyAlignment="1">
      <alignment horizontal="center"/>
    </xf>
    <xf numFmtId="43" fontId="7" fillId="0" borderId="4" xfId="1" applyFont="1" applyFill="1" applyBorder="1" applyAlignment="1">
      <alignment horizontal="center"/>
    </xf>
    <xf numFmtId="166" fontId="7" fillId="0" borderId="3" xfId="1" applyNumberFormat="1" applyFont="1" applyFill="1" applyBorder="1" applyAlignment="1">
      <alignment horizontal="center"/>
    </xf>
    <xf numFmtId="43" fontId="7" fillId="0" borderId="3" xfId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43" fontId="7" fillId="2" borderId="10" xfId="1" applyFont="1" applyFill="1" applyBorder="1" applyAlignment="1">
      <alignment horizontal="center"/>
    </xf>
    <xf numFmtId="164" fontId="7" fillId="2" borderId="11" xfId="0" applyNumberFormat="1" applyFont="1" applyFill="1" applyBorder="1"/>
    <xf numFmtId="0" fontId="7" fillId="0" borderId="8" xfId="0" applyFont="1" applyBorder="1" applyAlignment="1">
      <alignment horizontal="center"/>
    </xf>
    <xf numFmtId="164" fontId="7" fillId="2" borderId="3" xfId="0" applyNumberFormat="1" applyFont="1" applyFill="1" applyBorder="1"/>
    <xf numFmtId="0" fontId="8" fillId="2" borderId="7" xfId="0" applyFont="1" applyFill="1" applyBorder="1" applyAlignment="1">
      <alignment horizontal="center"/>
    </xf>
    <xf numFmtId="0" fontId="5" fillId="0" borderId="14" xfId="0" applyFont="1" applyBorder="1"/>
    <xf numFmtId="0" fontId="5" fillId="3" borderId="14" xfId="0" applyFont="1" applyFill="1" applyBorder="1"/>
    <xf numFmtId="0" fontId="9" fillId="0" borderId="0" xfId="0" applyFont="1"/>
    <xf numFmtId="43" fontId="8" fillId="0" borderId="3" xfId="1" applyFont="1" applyFill="1" applyBorder="1" applyAlignment="1">
      <alignment horizontal="center"/>
    </xf>
    <xf numFmtId="43" fontId="7" fillId="0" borderId="10" xfId="1" applyFont="1" applyFill="1" applyBorder="1" applyAlignment="1">
      <alignment horizontal="center"/>
    </xf>
    <xf numFmtId="166" fontId="7" fillId="0" borderId="1" xfId="1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0" fontId="5" fillId="4" borderId="13" xfId="0" applyFont="1" applyFill="1" applyBorder="1"/>
    <xf numFmtId="0" fontId="5" fillId="4" borderId="14" xfId="0" applyFont="1" applyFill="1" applyBorder="1"/>
    <xf numFmtId="0" fontId="7" fillId="4" borderId="14" xfId="0" applyFont="1" applyFill="1" applyBorder="1" applyAlignment="1">
      <alignment horizontal="center"/>
    </xf>
    <xf numFmtId="166" fontId="6" fillId="4" borderId="1" xfId="1" applyNumberFormat="1" applyFont="1" applyFill="1" applyBorder="1" applyAlignment="1">
      <alignment horizontal="center"/>
    </xf>
    <xf numFmtId="43" fontId="7" fillId="4" borderId="1" xfId="1" applyFont="1" applyFill="1" applyBorder="1" applyAlignment="1">
      <alignment horizontal="center"/>
    </xf>
    <xf numFmtId="43" fontId="6" fillId="4" borderId="1" xfId="1" applyFont="1" applyFill="1" applyBorder="1" applyAlignment="1">
      <alignment horizontal="center"/>
    </xf>
    <xf numFmtId="2" fontId="7" fillId="0" borderId="5" xfId="0" applyNumberFormat="1" applyFont="1" applyBorder="1"/>
    <xf numFmtId="0" fontId="6" fillId="4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5" xfId="0" applyFont="1" applyFill="1" applyBorder="1"/>
    <xf numFmtId="166" fontId="7" fillId="0" borderId="0" xfId="1" applyNumberFormat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/>
    </xf>
    <xf numFmtId="43" fontId="7" fillId="0" borderId="19" xfId="1" applyFont="1" applyFill="1" applyBorder="1" applyAlignment="1">
      <alignment horizontal="center"/>
    </xf>
    <xf numFmtId="0" fontId="0" fillId="2" borderId="0" xfId="0" applyFill="1"/>
    <xf numFmtId="164" fontId="7" fillId="2" borderId="4" xfId="0" applyNumberFormat="1" applyFont="1" applyFill="1" applyBorder="1"/>
    <xf numFmtId="0" fontId="10" fillId="2" borderId="11" xfId="0" applyFont="1" applyFill="1" applyBorder="1" applyAlignment="1">
      <alignment horizontal="center"/>
    </xf>
    <xf numFmtId="166" fontId="10" fillId="2" borderId="10" xfId="1" applyNumberFormat="1" applyFont="1" applyFill="1" applyBorder="1" applyAlignment="1">
      <alignment horizontal="center"/>
    </xf>
    <xf numFmtId="2" fontId="7" fillId="2" borderId="11" xfId="0" applyNumberFormat="1" applyFont="1" applyFill="1" applyBorder="1" applyAlignment="1">
      <alignment horizontal="center"/>
    </xf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166" fontId="7" fillId="0" borderId="14" xfId="1" applyNumberFormat="1" applyFont="1" applyFill="1" applyBorder="1" applyAlignment="1">
      <alignment horizontal="center"/>
    </xf>
    <xf numFmtId="43" fontId="7" fillId="0" borderId="14" xfId="1" applyFont="1" applyFill="1" applyBorder="1" applyAlignment="1">
      <alignment horizontal="center"/>
    </xf>
    <xf numFmtId="164" fontId="7" fillId="0" borderId="3" xfId="0" applyNumberFormat="1" applyFont="1" applyBorder="1"/>
    <xf numFmtId="0" fontId="3" fillId="2" borderId="20" xfId="0" applyFont="1" applyFill="1" applyBorder="1" applyAlignment="1">
      <alignment horizontal="center"/>
    </xf>
    <xf numFmtId="2" fontId="6" fillId="0" borderId="5" xfId="0" applyNumberFormat="1" applyFont="1" applyBorder="1"/>
    <xf numFmtId="0" fontId="10" fillId="2" borderId="7" xfId="0" applyFont="1" applyFill="1" applyBorder="1" applyAlignment="1">
      <alignment horizontal="center"/>
    </xf>
    <xf numFmtId="43" fontId="3" fillId="2" borderId="0" xfId="1" applyFont="1" applyFill="1" applyAlignment="1">
      <alignment horizontal="center"/>
    </xf>
    <xf numFmtId="0" fontId="0" fillId="0" borderId="0" xfId="0" applyAlignment="1">
      <alignment horizontal="left"/>
    </xf>
    <xf numFmtId="0" fontId="7" fillId="0" borderId="19" xfId="0" applyFont="1" applyBorder="1" applyAlignment="1">
      <alignment horizontal="center"/>
    </xf>
    <xf numFmtId="166" fontId="7" fillId="0" borderId="19" xfId="1" applyNumberFormat="1" applyFont="1" applyBorder="1" applyAlignment="1">
      <alignment horizontal="center"/>
    </xf>
    <xf numFmtId="43" fontId="7" fillId="0" borderId="19" xfId="1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4" fontId="7" fillId="2" borderId="7" xfId="0" applyNumberFormat="1" applyFont="1" applyFill="1" applyBorder="1"/>
    <xf numFmtId="0" fontId="7" fillId="2" borderId="10" xfId="0" applyFont="1" applyFill="1" applyBorder="1" applyAlignment="1">
      <alignment horizontal="center"/>
    </xf>
    <xf numFmtId="166" fontId="7" fillId="2" borderId="10" xfId="1" applyNumberFormat="1" applyFont="1" applyFill="1" applyBorder="1" applyAlignment="1">
      <alignment horizontal="center"/>
    </xf>
    <xf numFmtId="43" fontId="8" fillId="2" borderId="10" xfId="1" applyFont="1" applyFill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8" fillId="0" borderId="14" xfId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5" xfId="0" applyFont="1" applyFill="1" applyBorder="1"/>
    <xf numFmtId="43" fontId="10" fillId="2" borderId="3" xfId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166" fontId="7" fillId="0" borderId="10" xfId="1" applyNumberFormat="1" applyFont="1" applyFill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6" fontId="8" fillId="0" borderId="4" xfId="1" applyNumberFormat="1" applyFont="1" applyFill="1" applyBorder="1" applyAlignment="1">
      <alignment horizontal="center"/>
    </xf>
    <xf numFmtId="43" fontId="8" fillId="0" borderId="4" xfId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66" fontId="10" fillId="2" borderId="3" xfId="1" applyNumberFormat="1" applyFont="1" applyFill="1" applyBorder="1" applyAlignment="1">
      <alignment horizontal="center"/>
    </xf>
    <xf numFmtId="43" fontId="10" fillId="0" borderId="3" xfId="1" applyFont="1" applyFill="1" applyBorder="1" applyAlignment="1">
      <alignment horizontal="center"/>
    </xf>
    <xf numFmtId="2" fontId="7" fillId="2" borderId="0" xfId="0" applyNumberFormat="1" applyFont="1" applyFill="1"/>
    <xf numFmtId="0" fontId="3" fillId="0" borderId="10" xfId="0" applyFont="1" applyBorder="1"/>
    <xf numFmtId="166" fontId="6" fillId="2" borderId="3" xfId="1" applyNumberFormat="1" applyFont="1" applyFill="1" applyBorder="1" applyAlignment="1">
      <alignment horizontal="center"/>
    </xf>
    <xf numFmtId="0" fontId="0" fillId="2" borderId="10" xfId="0" applyFill="1" applyBorder="1"/>
    <xf numFmtId="0" fontId="5" fillId="2" borderId="11" xfId="0" applyFont="1" applyFill="1" applyBorder="1"/>
    <xf numFmtId="166" fontId="11" fillId="2" borderId="3" xfId="1" applyNumberFormat="1" applyFont="1" applyFill="1" applyBorder="1" applyAlignment="1">
      <alignment horizontal="center"/>
    </xf>
    <xf numFmtId="166" fontId="8" fillId="0" borderId="7" xfId="1" applyNumberFormat="1" applyFont="1" applyFill="1" applyBorder="1" applyAlignment="1">
      <alignment horizontal="center"/>
    </xf>
    <xf numFmtId="166" fontId="10" fillId="2" borderId="7" xfId="1" applyNumberFormat="1" applyFont="1" applyFill="1" applyBorder="1" applyAlignment="1">
      <alignment horizontal="center"/>
    </xf>
    <xf numFmtId="166" fontId="7" fillId="0" borderId="4" xfId="1" applyNumberFormat="1" applyFont="1" applyFill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0" fontId="7" fillId="2" borderId="12" xfId="0" applyFont="1" applyFill="1" applyBorder="1"/>
    <xf numFmtId="43" fontId="7" fillId="0" borderId="6" xfId="1" applyFont="1" applyBorder="1" applyAlignment="1">
      <alignment horizontal="center"/>
    </xf>
    <xf numFmtId="2" fontId="0" fillId="0" borderId="0" xfId="0" applyNumberFormat="1"/>
    <xf numFmtId="165" fontId="7" fillId="0" borderId="4" xfId="0" applyNumberFormat="1" applyFont="1" applyBorder="1" applyAlignment="1">
      <alignment horizontal="right"/>
    </xf>
    <xf numFmtId="0" fontId="6" fillId="0" borderId="14" xfId="0" applyFont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166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6FEB-78D1-49F9-95F5-60DF80CB6FF0}">
  <dimension ref="A1:AX260"/>
  <sheetViews>
    <sheetView tabSelected="1" workbookViewId="0">
      <selection activeCell="T21" sqref="T21"/>
    </sheetView>
  </sheetViews>
  <sheetFormatPr defaultRowHeight="15" x14ac:dyDescent="0.25"/>
  <cols>
    <col min="1" max="1" width="5.42578125" customWidth="1"/>
    <col min="2" max="2" width="9.5703125" style="1" bestFit="1" customWidth="1"/>
    <col min="3" max="3" width="5.28515625" bestFit="1" customWidth="1"/>
    <col min="4" max="4" width="45.85546875" style="2" customWidth="1"/>
    <col min="5" max="5" width="20.85546875" style="2" customWidth="1"/>
    <col min="6" max="6" width="9.42578125" style="3" bestFit="1" customWidth="1"/>
    <col min="7" max="7" width="13" style="4" bestFit="1" customWidth="1"/>
    <col min="8" max="8" width="8.140625" style="4" customWidth="1"/>
    <col min="9" max="9" width="14.140625" style="4" customWidth="1"/>
    <col min="10" max="10" width="3.140625" customWidth="1"/>
    <col min="11" max="11" width="14.42578125" style="5" customWidth="1"/>
    <col min="12" max="12" width="11.85546875" style="5" bestFit="1" customWidth="1"/>
    <col min="13" max="13" width="1" style="5" hidden="1" customWidth="1"/>
    <col min="14" max="14" width="11.42578125" style="3" customWidth="1"/>
    <col min="15" max="15" width="2.5703125" customWidth="1"/>
    <col min="16" max="16" width="6.28515625" bestFit="1" customWidth="1"/>
    <col min="17" max="17" width="13.42578125" bestFit="1" customWidth="1"/>
    <col min="18" max="18" width="12.28515625" bestFit="1" customWidth="1"/>
    <col min="19" max="19" width="8" bestFit="1" customWidth="1"/>
    <col min="20" max="21" width="10" bestFit="1" customWidth="1"/>
    <col min="22" max="22" width="6" bestFit="1" customWidth="1"/>
    <col min="23" max="256" width="11.42578125" customWidth="1"/>
    <col min="257" max="257" width="5.42578125" customWidth="1"/>
    <col min="258" max="258" width="9.5703125" bestFit="1" customWidth="1"/>
    <col min="259" max="259" width="5.28515625" bestFit="1" customWidth="1"/>
    <col min="260" max="260" width="45.85546875" customWidth="1"/>
    <col min="261" max="261" width="20.85546875" customWidth="1"/>
    <col min="262" max="262" width="9.42578125" bestFit="1" customWidth="1"/>
    <col min="263" max="263" width="13" bestFit="1" customWidth="1"/>
    <col min="264" max="264" width="8.140625" customWidth="1"/>
    <col min="265" max="265" width="14.140625" customWidth="1"/>
    <col min="266" max="266" width="3.140625" customWidth="1"/>
    <col min="267" max="267" width="14.42578125" customWidth="1"/>
    <col min="268" max="268" width="11.85546875" bestFit="1" customWidth="1"/>
    <col min="269" max="269" width="0" hidden="1" customWidth="1"/>
    <col min="270" max="270" width="11.42578125" customWidth="1"/>
    <col min="271" max="271" width="2.5703125" customWidth="1"/>
    <col min="272" max="272" width="6.28515625" bestFit="1" customWidth="1"/>
    <col min="273" max="273" width="13.42578125" bestFit="1" customWidth="1"/>
    <col min="274" max="274" width="12.28515625" bestFit="1" customWidth="1"/>
    <col min="275" max="275" width="8" bestFit="1" customWidth="1"/>
    <col min="276" max="277" width="10" bestFit="1" customWidth="1"/>
    <col min="278" max="278" width="6" bestFit="1" customWidth="1"/>
    <col min="279" max="512" width="11.42578125" customWidth="1"/>
    <col min="513" max="513" width="5.42578125" customWidth="1"/>
    <col min="514" max="514" width="9.5703125" bestFit="1" customWidth="1"/>
    <col min="515" max="515" width="5.28515625" bestFit="1" customWidth="1"/>
    <col min="516" max="516" width="45.85546875" customWidth="1"/>
    <col min="517" max="517" width="20.85546875" customWidth="1"/>
    <col min="518" max="518" width="9.42578125" bestFit="1" customWidth="1"/>
    <col min="519" max="519" width="13" bestFit="1" customWidth="1"/>
    <col min="520" max="520" width="8.140625" customWidth="1"/>
    <col min="521" max="521" width="14.140625" customWidth="1"/>
    <col min="522" max="522" width="3.140625" customWidth="1"/>
    <col min="523" max="523" width="14.42578125" customWidth="1"/>
    <col min="524" max="524" width="11.85546875" bestFit="1" customWidth="1"/>
    <col min="525" max="525" width="0" hidden="1" customWidth="1"/>
    <col min="526" max="526" width="11.42578125" customWidth="1"/>
    <col min="527" max="527" width="2.5703125" customWidth="1"/>
    <col min="528" max="528" width="6.28515625" bestFit="1" customWidth="1"/>
    <col min="529" max="529" width="13.42578125" bestFit="1" customWidth="1"/>
    <col min="530" max="530" width="12.28515625" bestFit="1" customWidth="1"/>
    <col min="531" max="531" width="8" bestFit="1" customWidth="1"/>
    <col min="532" max="533" width="10" bestFit="1" customWidth="1"/>
    <col min="534" max="534" width="6" bestFit="1" customWidth="1"/>
    <col min="535" max="768" width="11.42578125" customWidth="1"/>
    <col min="769" max="769" width="5.42578125" customWidth="1"/>
    <col min="770" max="770" width="9.5703125" bestFit="1" customWidth="1"/>
    <col min="771" max="771" width="5.28515625" bestFit="1" customWidth="1"/>
    <col min="772" max="772" width="45.85546875" customWidth="1"/>
    <col min="773" max="773" width="20.85546875" customWidth="1"/>
    <col min="774" max="774" width="9.42578125" bestFit="1" customWidth="1"/>
    <col min="775" max="775" width="13" bestFit="1" customWidth="1"/>
    <col min="776" max="776" width="8.140625" customWidth="1"/>
    <col min="777" max="777" width="14.140625" customWidth="1"/>
    <col min="778" max="778" width="3.140625" customWidth="1"/>
    <col min="779" max="779" width="14.42578125" customWidth="1"/>
    <col min="780" max="780" width="11.85546875" bestFit="1" customWidth="1"/>
    <col min="781" max="781" width="0" hidden="1" customWidth="1"/>
    <col min="782" max="782" width="11.42578125" customWidth="1"/>
    <col min="783" max="783" width="2.5703125" customWidth="1"/>
    <col min="784" max="784" width="6.28515625" bestFit="1" customWidth="1"/>
    <col min="785" max="785" width="13.42578125" bestFit="1" customWidth="1"/>
    <col min="786" max="786" width="12.28515625" bestFit="1" customWidth="1"/>
    <col min="787" max="787" width="8" bestFit="1" customWidth="1"/>
    <col min="788" max="789" width="10" bestFit="1" customWidth="1"/>
    <col min="790" max="790" width="6" bestFit="1" customWidth="1"/>
    <col min="791" max="1024" width="11.42578125" customWidth="1"/>
    <col min="1025" max="1025" width="5.42578125" customWidth="1"/>
    <col min="1026" max="1026" width="9.5703125" bestFit="1" customWidth="1"/>
    <col min="1027" max="1027" width="5.28515625" bestFit="1" customWidth="1"/>
    <col min="1028" max="1028" width="45.85546875" customWidth="1"/>
    <col min="1029" max="1029" width="20.85546875" customWidth="1"/>
    <col min="1030" max="1030" width="9.42578125" bestFit="1" customWidth="1"/>
    <col min="1031" max="1031" width="13" bestFit="1" customWidth="1"/>
    <col min="1032" max="1032" width="8.140625" customWidth="1"/>
    <col min="1033" max="1033" width="14.140625" customWidth="1"/>
    <col min="1034" max="1034" width="3.140625" customWidth="1"/>
    <col min="1035" max="1035" width="14.42578125" customWidth="1"/>
    <col min="1036" max="1036" width="11.85546875" bestFit="1" customWidth="1"/>
    <col min="1037" max="1037" width="0" hidden="1" customWidth="1"/>
    <col min="1038" max="1038" width="11.42578125" customWidth="1"/>
    <col min="1039" max="1039" width="2.5703125" customWidth="1"/>
    <col min="1040" max="1040" width="6.28515625" bestFit="1" customWidth="1"/>
    <col min="1041" max="1041" width="13.42578125" bestFit="1" customWidth="1"/>
    <col min="1042" max="1042" width="12.28515625" bestFit="1" customWidth="1"/>
    <col min="1043" max="1043" width="8" bestFit="1" customWidth="1"/>
    <col min="1044" max="1045" width="10" bestFit="1" customWidth="1"/>
    <col min="1046" max="1046" width="6" bestFit="1" customWidth="1"/>
    <col min="1047" max="1280" width="11.42578125" customWidth="1"/>
    <col min="1281" max="1281" width="5.42578125" customWidth="1"/>
    <col min="1282" max="1282" width="9.5703125" bestFit="1" customWidth="1"/>
    <col min="1283" max="1283" width="5.28515625" bestFit="1" customWidth="1"/>
    <col min="1284" max="1284" width="45.85546875" customWidth="1"/>
    <col min="1285" max="1285" width="20.85546875" customWidth="1"/>
    <col min="1286" max="1286" width="9.42578125" bestFit="1" customWidth="1"/>
    <col min="1287" max="1287" width="13" bestFit="1" customWidth="1"/>
    <col min="1288" max="1288" width="8.140625" customWidth="1"/>
    <col min="1289" max="1289" width="14.140625" customWidth="1"/>
    <col min="1290" max="1290" width="3.140625" customWidth="1"/>
    <col min="1291" max="1291" width="14.42578125" customWidth="1"/>
    <col min="1292" max="1292" width="11.85546875" bestFit="1" customWidth="1"/>
    <col min="1293" max="1293" width="0" hidden="1" customWidth="1"/>
    <col min="1294" max="1294" width="11.42578125" customWidth="1"/>
    <col min="1295" max="1295" width="2.5703125" customWidth="1"/>
    <col min="1296" max="1296" width="6.28515625" bestFit="1" customWidth="1"/>
    <col min="1297" max="1297" width="13.42578125" bestFit="1" customWidth="1"/>
    <col min="1298" max="1298" width="12.28515625" bestFit="1" customWidth="1"/>
    <col min="1299" max="1299" width="8" bestFit="1" customWidth="1"/>
    <col min="1300" max="1301" width="10" bestFit="1" customWidth="1"/>
    <col min="1302" max="1302" width="6" bestFit="1" customWidth="1"/>
    <col min="1303" max="1536" width="11.42578125" customWidth="1"/>
    <col min="1537" max="1537" width="5.42578125" customWidth="1"/>
    <col min="1538" max="1538" width="9.5703125" bestFit="1" customWidth="1"/>
    <col min="1539" max="1539" width="5.28515625" bestFit="1" customWidth="1"/>
    <col min="1540" max="1540" width="45.85546875" customWidth="1"/>
    <col min="1541" max="1541" width="20.85546875" customWidth="1"/>
    <col min="1542" max="1542" width="9.42578125" bestFit="1" customWidth="1"/>
    <col min="1543" max="1543" width="13" bestFit="1" customWidth="1"/>
    <col min="1544" max="1544" width="8.140625" customWidth="1"/>
    <col min="1545" max="1545" width="14.140625" customWidth="1"/>
    <col min="1546" max="1546" width="3.140625" customWidth="1"/>
    <col min="1547" max="1547" width="14.42578125" customWidth="1"/>
    <col min="1548" max="1548" width="11.85546875" bestFit="1" customWidth="1"/>
    <col min="1549" max="1549" width="0" hidden="1" customWidth="1"/>
    <col min="1550" max="1550" width="11.42578125" customWidth="1"/>
    <col min="1551" max="1551" width="2.5703125" customWidth="1"/>
    <col min="1552" max="1552" width="6.28515625" bestFit="1" customWidth="1"/>
    <col min="1553" max="1553" width="13.42578125" bestFit="1" customWidth="1"/>
    <col min="1554" max="1554" width="12.28515625" bestFit="1" customWidth="1"/>
    <col min="1555" max="1555" width="8" bestFit="1" customWidth="1"/>
    <col min="1556" max="1557" width="10" bestFit="1" customWidth="1"/>
    <col min="1558" max="1558" width="6" bestFit="1" customWidth="1"/>
    <col min="1559" max="1792" width="11.42578125" customWidth="1"/>
    <col min="1793" max="1793" width="5.42578125" customWidth="1"/>
    <col min="1794" max="1794" width="9.5703125" bestFit="1" customWidth="1"/>
    <col min="1795" max="1795" width="5.28515625" bestFit="1" customWidth="1"/>
    <col min="1796" max="1796" width="45.85546875" customWidth="1"/>
    <col min="1797" max="1797" width="20.85546875" customWidth="1"/>
    <col min="1798" max="1798" width="9.42578125" bestFit="1" customWidth="1"/>
    <col min="1799" max="1799" width="13" bestFit="1" customWidth="1"/>
    <col min="1800" max="1800" width="8.140625" customWidth="1"/>
    <col min="1801" max="1801" width="14.140625" customWidth="1"/>
    <col min="1802" max="1802" width="3.140625" customWidth="1"/>
    <col min="1803" max="1803" width="14.42578125" customWidth="1"/>
    <col min="1804" max="1804" width="11.85546875" bestFit="1" customWidth="1"/>
    <col min="1805" max="1805" width="0" hidden="1" customWidth="1"/>
    <col min="1806" max="1806" width="11.42578125" customWidth="1"/>
    <col min="1807" max="1807" width="2.5703125" customWidth="1"/>
    <col min="1808" max="1808" width="6.28515625" bestFit="1" customWidth="1"/>
    <col min="1809" max="1809" width="13.42578125" bestFit="1" customWidth="1"/>
    <col min="1810" max="1810" width="12.28515625" bestFit="1" customWidth="1"/>
    <col min="1811" max="1811" width="8" bestFit="1" customWidth="1"/>
    <col min="1812" max="1813" width="10" bestFit="1" customWidth="1"/>
    <col min="1814" max="1814" width="6" bestFit="1" customWidth="1"/>
    <col min="1815" max="2048" width="11.42578125" customWidth="1"/>
    <col min="2049" max="2049" width="5.42578125" customWidth="1"/>
    <col min="2050" max="2050" width="9.5703125" bestFit="1" customWidth="1"/>
    <col min="2051" max="2051" width="5.28515625" bestFit="1" customWidth="1"/>
    <col min="2052" max="2052" width="45.85546875" customWidth="1"/>
    <col min="2053" max="2053" width="20.85546875" customWidth="1"/>
    <col min="2054" max="2054" width="9.42578125" bestFit="1" customWidth="1"/>
    <col min="2055" max="2055" width="13" bestFit="1" customWidth="1"/>
    <col min="2056" max="2056" width="8.140625" customWidth="1"/>
    <col min="2057" max="2057" width="14.140625" customWidth="1"/>
    <col min="2058" max="2058" width="3.140625" customWidth="1"/>
    <col min="2059" max="2059" width="14.42578125" customWidth="1"/>
    <col min="2060" max="2060" width="11.85546875" bestFit="1" customWidth="1"/>
    <col min="2061" max="2061" width="0" hidden="1" customWidth="1"/>
    <col min="2062" max="2062" width="11.42578125" customWidth="1"/>
    <col min="2063" max="2063" width="2.5703125" customWidth="1"/>
    <col min="2064" max="2064" width="6.28515625" bestFit="1" customWidth="1"/>
    <col min="2065" max="2065" width="13.42578125" bestFit="1" customWidth="1"/>
    <col min="2066" max="2066" width="12.28515625" bestFit="1" customWidth="1"/>
    <col min="2067" max="2067" width="8" bestFit="1" customWidth="1"/>
    <col min="2068" max="2069" width="10" bestFit="1" customWidth="1"/>
    <col min="2070" max="2070" width="6" bestFit="1" customWidth="1"/>
    <col min="2071" max="2304" width="11.42578125" customWidth="1"/>
    <col min="2305" max="2305" width="5.42578125" customWidth="1"/>
    <col min="2306" max="2306" width="9.5703125" bestFit="1" customWidth="1"/>
    <col min="2307" max="2307" width="5.28515625" bestFit="1" customWidth="1"/>
    <col min="2308" max="2308" width="45.85546875" customWidth="1"/>
    <col min="2309" max="2309" width="20.85546875" customWidth="1"/>
    <col min="2310" max="2310" width="9.42578125" bestFit="1" customWidth="1"/>
    <col min="2311" max="2311" width="13" bestFit="1" customWidth="1"/>
    <col min="2312" max="2312" width="8.140625" customWidth="1"/>
    <col min="2313" max="2313" width="14.140625" customWidth="1"/>
    <col min="2314" max="2314" width="3.140625" customWidth="1"/>
    <col min="2315" max="2315" width="14.42578125" customWidth="1"/>
    <col min="2316" max="2316" width="11.85546875" bestFit="1" customWidth="1"/>
    <col min="2317" max="2317" width="0" hidden="1" customWidth="1"/>
    <col min="2318" max="2318" width="11.42578125" customWidth="1"/>
    <col min="2319" max="2319" width="2.5703125" customWidth="1"/>
    <col min="2320" max="2320" width="6.28515625" bestFit="1" customWidth="1"/>
    <col min="2321" max="2321" width="13.42578125" bestFit="1" customWidth="1"/>
    <col min="2322" max="2322" width="12.28515625" bestFit="1" customWidth="1"/>
    <col min="2323" max="2323" width="8" bestFit="1" customWidth="1"/>
    <col min="2324" max="2325" width="10" bestFit="1" customWidth="1"/>
    <col min="2326" max="2326" width="6" bestFit="1" customWidth="1"/>
    <col min="2327" max="2560" width="11.42578125" customWidth="1"/>
    <col min="2561" max="2561" width="5.42578125" customWidth="1"/>
    <col min="2562" max="2562" width="9.5703125" bestFit="1" customWidth="1"/>
    <col min="2563" max="2563" width="5.28515625" bestFit="1" customWidth="1"/>
    <col min="2564" max="2564" width="45.85546875" customWidth="1"/>
    <col min="2565" max="2565" width="20.85546875" customWidth="1"/>
    <col min="2566" max="2566" width="9.42578125" bestFit="1" customWidth="1"/>
    <col min="2567" max="2567" width="13" bestFit="1" customWidth="1"/>
    <col min="2568" max="2568" width="8.140625" customWidth="1"/>
    <col min="2569" max="2569" width="14.140625" customWidth="1"/>
    <col min="2570" max="2570" width="3.140625" customWidth="1"/>
    <col min="2571" max="2571" width="14.42578125" customWidth="1"/>
    <col min="2572" max="2572" width="11.85546875" bestFit="1" customWidth="1"/>
    <col min="2573" max="2573" width="0" hidden="1" customWidth="1"/>
    <col min="2574" max="2574" width="11.42578125" customWidth="1"/>
    <col min="2575" max="2575" width="2.5703125" customWidth="1"/>
    <col min="2576" max="2576" width="6.28515625" bestFit="1" customWidth="1"/>
    <col min="2577" max="2577" width="13.42578125" bestFit="1" customWidth="1"/>
    <col min="2578" max="2578" width="12.28515625" bestFit="1" customWidth="1"/>
    <col min="2579" max="2579" width="8" bestFit="1" customWidth="1"/>
    <col min="2580" max="2581" width="10" bestFit="1" customWidth="1"/>
    <col min="2582" max="2582" width="6" bestFit="1" customWidth="1"/>
    <col min="2583" max="2816" width="11.42578125" customWidth="1"/>
    <col min="2817" max="2817" width="5.42578125" customWidth="1"/>
    <col min="2818" max="2818" width="9.5703125" bestFit="1" customWidth="1"/>
    <col min="2819" max="2819" width="5.28515625" bestFit="1" customWidth="1"/>
    <col min="2820" max="2820" width="45.85546875" customWidth="1"/>
    <col min="2821" max="2821" width="20.85546875" customWidth="1"/>
    <col min="2822" max="2822" width="9.42578125" bestFit="1" customWidth="1"/>
    <col min="2823" max="2823" width="13" bestFit="1" customWidth="1"/>
    <col min="2824" max="2824" width="8.140625" customWidth="1"/>
    <col min="2825" max="2825" width="14.140625" customWidth="1"/>
    <col min="2826" max="2826" width="3.140625" customWidth="1"/>
    <col min="2827" max="2827" width="14.42578125" customWidth="1"/>
    <col min="2828" max="2828" width="11.85546875" bestFit="1" customWidth="1"/>
    <col min="2829" max="2829" width="0" hidden="1" customWidth="1"/>
    <col min="2830" max="2830" width="11.42578125" customWidth="1"/>
    <col min="2831" max="2831" width="2.5703125" customWidth="1"/>
    <col min="2832" max="2832" width="6.28515625" bestFit="1" customWidth="1"/>
    <col min="2833" max="2833" width="13.42578125" bestFit="1" customWidth="1"/>
    <col min="2834" max="2834" width="12.28515625" bestFit="1" customWidth="1"/>
    <col min="2835" max="2835" width="8" bestFit="1" customWidth="1"/>
    <col min="2836" max="2837" width="10" bestFit="1" customWidth="1"/>
    <col min="2838" max="2838" width="6" bestFit="1" customWidth="1"/>
    <col min="2839" max="3072" width="11.42578125" customWidth="1"/>
    <col min="3073" max="3073" width="5.42578125" customWidth="1"/>
    <col min="3074" max="3074" width="9.5703125" bestFit="1" customWidth="1"/>
    <col min="3075" max="3075" width="5.28515625" bestFit="1" customWidth="1"/>
    <col min="3076" max="3076" width="45.85546875" customWidth="1"/>
    <col min="3077" max="3077" width="20.85546875" customWidth="1"/>
    <col min="3078" max="3078" width="9.42578125" bestFit="1" customWidth="1"/>
    <col min="3079" max="3079" width="13" bestFit="1" customWidth="1"/>
    <col min="3080" max="3080" width="8.140625" customWidth="1"/>
    <col min="3081" max="3081" width="14.140625" customWidth="1"/>
    <col min="3082" max="3082" width="3.140625" customWidth="1"/>
    <col min="3083" max="3083" width="14.42578125" customWidth="1"/>
    <col min="3084" max="3084" width="11.85546875" bestFit="1" customWidth="1"/>
    <col min="3085" max="3085" width="0" hidden="1" customWidth="1"/>
    <col min="3086" max="3086" width="11.42578125" customWidth="1"/>
    <col min="3087" max="3087" width="2.5703125" customWidth="1"/>
    <col min="3088" max="3088" width="6.28515625" bestFit="1" customWidth="1"/>
    <col min="3089" max="3089" width="13.42578125" bestFit="1" customWidth="1"/>
    <col min="3090" max="3090" width="12.28515625" bestFit="1" customWidth="1"/>
    <col min="3091" max="3091" width="8" bestFit="1" customWidth="1"/>
    <col min="3092" max="3093" width="10" bestFit="1" customWidth="1"/>
    <col min="3094" max="3094" width="6" bestFit="1" customWidth="1"/>
    <col min="3095" max="3328" width="11.42578125" customWidth="1"/>
    <col min="3329" max="3329" width="5.42578125" customWidth="1"/>
    <col min="3330" max="3330" width="9.5703125" bestFit="1" customWidth="1"/>
    <col min="3331" max="3331" width="5.28515625" bestFit="1" customWidth="1"/>
    <col min="3332" max="3332" width="45.85546875" customWidth="1"/>
    <col min="3333" max="3333" width="20.85546875" customWidth="1"/>
    <col min="3334" max="3334" width="9.42578125" bestFit="1" customWidth="1"/>
    <col min="3335" max="3335" width="13" bestFit="1" customWidth="1"/>
    <col min="3336" max="3336" width="8.140625" customWidth="1"/>
    <col min="3337" max="3337" width="14.140625" customWidth="1"/>
    <col min="3338" max="3338" width="3.140625" customWidth="1"/>
    <col min="3339" max="3339" width="14.42578125" customWidth="1"/>
    <col min="3340" max="3340" width="11.85546875" bestFit="1" customWidth="1"/>
    <col min="3341" max="3341" width="0" hidden="1" customWidth="1"/>
    <col min="3342" max="3342" width="11.42578125" customWidth="1"/>
    <col min="3343" max="3343" width="2.5703125" customWidth="1"/>
    <col min="3344" max="3344" width="6.28515625" bestFit="1" customWidth="1"/>
    <col min="3345" max="3345" width="13.42578125" bestFit="1" customWidth="1"/>
    <col min="3346" max="3346" width="12.28515625" bestFit="1" customWidth="1"/>
    <col min="3347" max="3347" width="8" bestFit="1" customWidth="1"/>
    <col min="3348" max="3349" width="10" bestFit="1" customWidth="1"/>
    <col min="3350" max="3350" width="6" bestFit="1" customWidth="1"/>
    <col min="3351" max="3584" width="11.42578125" customWidth="1"/>
    <col min="3585" max="3585" width="5.42578125" customWidth="1"/>
    <col min="3586" max="3586" width="9.5703125" bestFit="1" customWidth="1"/>
    <col min="3587" max="3587" width="5.28515625" bestFit="1" customWidth="1"/>
    <col min="3588" max="3588" width="45.85546875" customWidth="1"/>
    <col min="3589" max="3589" width="20.85546875" customWidth="1"/>
    <col min="3590" max="3590" width="9.42578125" bestFit="1" customWidth="1"/>
    <col min="3591" max="3591" width="13" bestFit="1" customWidth="1"/>
    <col min="3592" max="3592" width="8.140625" customWidth="1"/>
    <col min="3593" max="3593" width="14.140625" customWidth="1"/>
    <col min="3594" max="3594" width="3.140625" customWidth="1"/>
    <col min="3595" max="3595" width="14.42578125" customWidth="1"/>
    <col min="3596" max="3596" width="11.85546875" bestFit="1" customWidth="1"/>
    <col min="3597" max="3597" width="0" hidden="1" customWidth="1"/>
    <col min="3598" max="3598" width="11.42578125" customWidth="1"/>
    <col min="3599" max="3599" width="2.5703125" customWidth="1"/>
    <col min="3600" max="3600" width="6.28515625" bestFit="1" customWidth="1"/>
    <col min="3601" max="3601" width="13.42578125" bestFit="1" customWidth="1"/>
    <col min="3602" max="3602" width="12.28515625" bestFit="1" customWidth="1"/>
    <col min="3603" max="3603" width="8" bestFit="1" customWidth="1"/>
    <col min="3604" max="3605" width="10" bestFit="1" customWidth="1"/>
    <col min="3606" max="3606" width="6" bestFit="1" customWidth="1"/>
    <col min="3607" max="3840" width="11.42578125" customWidth="1"/>
    <col min="3841" max="3841" width="5.42578125" customWidth="1"/>
    <col min="3842" max="3842" width="9.5703125" bestFit="1" customWidth="1"/>
    <col min="3843" max="3843" width="5.28515625" bestFit="1" customWidth="1"/>
    <col min="3844" max="3844" width="45.85546875" customWidth="1"/>
    <col min="3845" max="3845" width="20.85546875" customWidth="1"/>
    <col min="3846" max="3846" width="9.42578125" bestFit="1" customWidth="1"/>
    <col min="3847" max="3847" width="13" bestFit="1" customWidth="1"/>
    <col min="3848" max="3848" width="8.140625" customWidth="1"/>
    <col min="3849" max="3849" width="14.140625" customWidth="1"/>
    <col min="3850" max="3850" width="3.140625" customWidth="1"/>
    <col min="3851" max="3851" width="14.42578125" customWidth="1"/>
    <col min="3852" max="3852" width="11.85546875" bestFit="1" customWidth="1"/>
    <col min="3853" max="3853" width="0" hidden="1" customWidth="1"/>
    <col min="3854" max="3854" width="11.42578125" customWidth="1"/>
    <col min="3855" max="3855" width="2.5703125" customWidth="1"/>
    <col min="3856" max="3856" width="6.28515625" bestFit="1" customWidth="1"/>
    <col min="3857" max="3857" width="13.42578125" bestFit="1" customWidth="1"/>
    <col min="3858" max="3858" width="12.28515625" bestFit="1" customWidth="1"/>
    <col min="3859" max="3859" width="8" bestFit="1" customWidth="1"/>
    <col min="3860" max="3861" width="10" bestFit="1" customWidth="1"/>
    <col min="3862" max="3862" width="6" bestFit="1" customWidth="1"/>
    <col min="3863" max="4096" width="11.42578125" customWidth="1"/>
    <col min="4097" max="4097" width="5.42578125" customWidth="1"/>
    <col min="4098" max="4098" width="9.5703125" bestFit="1" customWidth="1"/>
    <col min="4099" max="4099" width="5.28515625" bestFit="1" customWidth="1"/>
    <col min="4100" max="4100" width="45.85546875" customWidth="1"/>
    <col min="4101" max="4101" width="20.85546875" customWidth="1"/>
    <col min="4102" max="4102" width="9.42578125" bestFit="1" customWidth="1"/>
    <col min="4103" max="4103" width="13" bestFit="1" customWidth="1"/>
    <col min="4104" max="4104" width="8.140625" customWidth="1"/>
    <col min="4105" max="4105" width="14.140625" customWidth="1"/>
    <col min="4106" max="4106" width="3.140625" customWidth="1"/>
    <col min="4107" max="4107" width="14.42578125" customWidth="1"/>
    <col min="4108" max="4108" width="11.85546875" bestFit="1" customWidth="1"/>
    <col min="4109" max="4109" width="0" hidden="1" customWidth="1"/>
    <col min="4110" max="4110" width="11.42578125" customWidth="1"/>
    <col min="4111" max="4111" width="2.5703125" customWidth="1"/>
    <col min="4112" max="4112" width="6.28515625" bestFit="1" customWidth="1"/>
    <col min="4113" max="4113" width="13.42578125" bestFit="1" customWidth="1"/>
    <col min="4114" max="4114" width="12.28515625" bestFit="1" customWidth="1"/>
    <col min="4115" max="4115" width="8" bestFit="1" customWidth="1"/>
    <col min="4116" max="4117" width="10" bestFit="1" customWidth="1"/>
    <col min="4118" max="4118" width="6" bestFit="1" customWidth="1"/>
    <col min="4119" max="4352" width="11.42578125" customWidth="1"/>
    <col min="4353" max="4353" width="5.42578125" customWidth="1"/>
    <col min="4354" max="4354" width="9.5703125" bestFit="1" customWidth="1"/>
    <col min="4355" max="4355" width="5.28515625" bestFit="1" customWidth="1"/>
    <col min="4356" max="4356" width="45.85546875" customWidth="1"/>
    <col min="4357" max="4357" width="20.85546875" customWidth="1"/>
    <col min="4358" max="4358" width="9.42578125" bestFit="1" customWidth="1"/>
    <col min="4359" max="4359" width="13" bestFit="1" customWidth="1"/>
    <col min="4360" max="4360" width="8.140625" customWidth="1"/>
    <col min="4361" max="4361" width="14.140625" customWidth="1"/>
    <col min="4362" max="4362" width="3.140625" customWidth="1"/>
    <col min="4363" max="4363" width="14.42578125" customWidth="1"/>
    <col min="4364" max="4364" width="11.85546875" bestFit="1" customWidth="1"/>
    <col min="4365" max="4365" width="0" hidden="1" customWidth="1"/>
    <col min="4366" max="4366" width="11.42578125" customWidth="1"/>
    <col min="4367" max="4367" width="2.5703125" customWidth="1"/>
    <col min="4368" max="4368" width="6.28515625" bestFit="1" customWidth="1"/>
    <col min="4369" max="4369" width="13.42578125" bestFit="1" customWidth="1"/>
    <col min="4370" max="4370" width="12.28515625" bestFit="1" customWidth="1"/>
    <col min="4371" max="4371" width="8" bestFit="1" customWidth="1"/>
    <col min="4372" max="4373" width="10" bestFit="1" customWidth="1"/>
    <col min="4374" max="4374" width="6" bestFit="1" customWidth="1"/>
    <col min="4375" max="4608" width="11.42578125" customWidth="1"/>
    <col min="4609" max="4609" width="5.42578125" customWidth="1"/>
    <col min="4610" max="4610" width="9.5703125" bestFit="1" customWidth="1"/>
    <col min="4611" max="4611" width="5.28515625" bestFit="1" customWidth="1"/>
    <col min="4612" max="4612" width="45.85546875" customWidth="1"/>
    <col min="4613" max="4613" width="20.85546875" customWidth="1"/>
    <col min="4614" max="4614" width="9.42578125" bestFit="1" customWidth="1"/>
    <col min="4615" max="4615" width="13" bestFit="1" customWidth="1"/>
    <col min="4616" max="4616" width="8.140625" customWidth="1"/>
    <col min="4617" max="4617" width="14.140625" customWidth="1"/>
    <col min="4618" max="4618" width="3.140625" customWidth="1"/>
    <col min="4619" max="4619" width="14.42578125" customWidth="1"/>
    <col min="4620" max="4620" width="11.85546875" bestFit="1" customWidth="1"/>
    <col min="4621" max="4621" width="0" hidden="1" customWidth="1"/>
    <col min="4622" max="4622" width="11.42578125" customWidth="1"/>
    <col min="4623" max="4623" width="2.5703125" customWidth="1"/>
    <col min="4624" max="4624" width="6.28515625" bestFit="1" customWidth="1"/>
    <col min="4625" max="4625" width="13.42578125" bestFit="1" customWidth="1"/>
    <col min="4626" max="4626" width="12.28515625" bestFit="1" customWidth="1"/>
    <col min="4627" max="4627" width="8" bestFit="1" customWidth="1"/>
    <col min="4628" max="4629" width="10" bestFit="1" customWidth="1"/>
    <col min="4630" max="4630" width="6" bestFit="1" customWidth="1"/>
    <col min="4631" max="4864" width="11.42578125" customWidth="1"/>
    <col min="4865" max="4865" width="5.42578125" customWidth="1"/>
    <col min="4866" max="4866" width="9.5703125" bestFit="1" customWidth="1"/>
    <col min="4867" max="4867" width="5.28515625" bestFit="1" customWidth="1"/>
    <col min="4868" max="4868" width="45.85546875" customWidth="1"/>
    <col min="4869" max="4869" width="20.85546875" customWidth="1"/>
    <col min="4870" max="4870" width="9.42578125" bestFit="1" customWidth="1"/>
    <col min="4871" max="4871" width="13" bestFit="1" customWidth="1"/>
    <col min="4872" max="4872" width="8.140625" customWidth="1"/>
    <col min="4873" max="4873" width="14.140625" customWidth="1"/>
    <col min="4874" max="4874" width="3.140625" customWidth="1"/>
    <col min="4875" max="4875" width="14.42578125" customWidth="1"/>
    <col min="4876" max="4876" width="11.85546875" bestFit="1" customWidth="1"/>
    <col min="4877" max="4877" width="0" hidden="1" customWidth="1"/>
    <col min="4878" max="4878" width="11.42578125" customWidth="1"/>
    <col min="4879" max="4879" width="2.5703125" customWidth="1"/>
    <col min="4880" max="4880" width="6.28515625" bestFit="1" customWidth="1"/>
    <col min="4881" max="4881" width="13.42578125" bestFit="1" customWidth="1"/>
    <col min="4882" max="4882" width="12.28515625" bestFit="1" customWidth="1"/>
    <col min="4883" max="4883" width="8" bestFit="1" customWidth="1"/>
    <col min="4884" max="4885" width="10" bestFit="1" customWidth="1"/>
    <col min="4886" max="4886" width="6" bestFit="1" customWidth="1"/>
    <col min="4887" max="5120" width="11.42578125" customWidth="1"/>
    <col min="5121" max="5121" width="5.42578125" customWidth="1"/>
    <col min="5122" max="5122" width="9.5703125" bestFit="1" customWidth="1"/>
    <col min="5123" max="5123" width="5.28515625" bestFit="1" customWidth="1"/>
    <col min="5124" max="5124" width="45.85546875" customWidth="1"/>
    <col min="5125" max="5125" width="20.85546875" customWidth="1"/>
    <col min="5126" max="5126" width="9.42578125" bestFit="1" customWidth="1"/>
    <col min="5127" max="5127" width="13" bestFit="1" customWidth="1"/>
    <col min="5128" max="5128" width="8.140625" customWidth="1"/>
    <col min="5129" max="5129" width="14.140625" customWidth="1"/>
    <col min="5130" max="5130" width="3.140625" customWidth="1"/>
    <col min="5131" max="5131" width="14.42578125" customWidth="1"/>
    <col min="5132" max="5132" width="11.85546875" bestFit="1" customWidth="1"/>
    <col min="5133" max="5133" width="0" hidden="1" customWidth="1"/>
    <col min="5134" max="5134" width="11.42578125" customWidth="1"/>
    <col min="5135" max="5135" width="2.5703125" customWidth="1"/>
    <col min="5136" max="5136" width="6.28515625" bestFit="1" customWidth="1"/>
    <col min="5137" max="5137" width="13.42578125" bestFit="1" customWidth="1"/>
    <col min="5138" max="5138" width="12.28515625" bestFit="1" customWidth="1"/>
    <col min="5139" max="5139" width="8" bestFit="1" customWidth="1"/>
    <col min="5140" max="5141" width="10" bestFit="1" customWidth="1"/>
    <col min="5142" max="5142" width="6" bestFit="1" customWidth="1"/>
    <col min="5143" max="5376" width="11.42578125" customWidth="1"/>
    <col min="5377" max="5377" width="5.42578125" customWidth="1"/>
    <col min="5378" max="5378" width="9.5703125" bestFit="1" customWidth="1"/>
    <col min="5379" max="5379" width="5.28515625" bestFit="1" customWidth="1"/>
    <col min="5380" max="5380" width="45.85546875" customWidth="1"/>
    <col min="5381" max="5381" width="20.85546875" customWidth="1"/>
    <col min="5382" max="5382" width="9.42578125" bestFit="1" customWidth="1"/>
    <col min="5383" max="5383" width="13" bestFit="1" customWidth="1"/>
    <col min="5384" max="5384" width="8.140625" customWidth="1"/>
    <col min="5385" max="5385" width="14.140625" customWidth="1"/>
    <col min="5386" max="5386" width="3.140625" customWidth="1"/>
    <col min="5387" max="5387" width="14.42578125" customWidth="1"/>
    <col min="5388" max="5388" width="11.85546875" bestFit="1" customWidth="1"/>
    <col min="5389" max="5389" width="0" hidden="1" customWidth="1"/>
    <col min="5390" max="5390" width="11.42578125" customWidth="1"/>
    <col min="5391" max="5391" width="2.5703125" customWidth="1"/>
    <col min="5392" max="5392" width="6.28515625" bestFit="1" customWidth="1"/>
    <col min="5393" max="5393" width="13.42578125" bestFit="1" customWidth="1"/>
    <col min="5394" max="5394" width="12.28515625" bestFit="1" customWidth="1"/>
    <col min="5395" max="5395" width="8" bestFit="1" customWidth="1"/>
    <col min="5396" max="5397" width="10" bestFit="1" customWidth="1"/>
    <col min="5398" max="5398" width="6" bestFit="1" customWidth="1"/>
    <col min="5399" max="5632" width="11.42578125" customWidth="1"/>
    <col min="5633" max="5633" width="5.42578125" customWidth="1"/>
    <col min="5634" max="5634" width="9.5703125" bestFit="1" customWidth="1"/>
    <col min="5635" max="5635" width="5.28515625" bestFit="1" customWidth="1"/>
    <col min="5636" max="5636" width="45.85546875" customWidth="1"/>
    <col min="5637" max="5637" width="20.85546875" customWidth="1"/>
    <col min="5638" max="5638" width="9.42578125" bestFit="1" customWidth="1"/>
    <col min="5639" max="5639" width="13" bestFit="1" customWidth="1"/>
    <col min="5640" max="5640" width="8.140625" customWidth="1"/>
    <col min="5641" max="5641" width="14.140625" customWidth="1"/>
    <col min="5642" max="5642" width="3.140625" customWidth="1"/>
    <col min="5643" max="5643" width="14.42578125" customWidth="1"/>
    <col min="5644" max="5644" width="11.85546875" bestFit="1" customWidth="1"/>
    <col min="5645" max="5645" width="0" hidden="1" customWidth="1"/>
    <col min="5646" max="5646" width="11.42578125" customWidth="1"/>
    <col min="5647" max="5647" width="2.5703125" customWidth="1"/>
    <col min="5648" max="5648" width="6.28515625" bestFit="1" customWidth="1"/>
    <col min="5649" max="5649" width="13.42578125" bestFit="1" customWidth="1"/>
    <col min="5650" max="5650" width="12.28515625" bestFit="1" customWidth="1"/>
    <col min="5651" max="5651" width="8" bestFit="1" customWidth="1"/>
    <col min="5652" max="5653" width="10" bestFit="1" customWidth="1"/>
    <col min="5654" max="5654" width="6" bestFit="1" customWidth="1"/>
    <col min="5655" max="5888" width="11.42578125" customWidth="1"/>
    <col min="5889" max="5889" width="5.42578125" customWidth="1"/>
    <col min="5890" max="5890" width="9.5703125" bestFit="1" customWidth="1"/>
    <col min="5891" max="5891" width="5.28515625" bestFit="1" customWidth="1"/>
    <col min="5892" max="5892" width="45.85546875" customWidth="1"/>
    <col min="5893" max="5893" width="20.85546875" customWidth="1"/>
    <col min="5894" max="5894" width="9.42578125" bestFit="1" customWidth="1"/>
    <col min="5895" max="5895" width="13" bestFit="1" customWidth="1"/>
    <col min="5896" max="5896" width="8.140625" customWidth="1"/>
    <col min="5897" max="5897" width="14.140625" customWidth="1"/>
    <col min="5898" max="5898" width="3.140625" customWidth="1"/>
    <col min="5899" max="5899" width="14.42578125" customWidth="1"/>
    <col min="5900" max="5900" width="11.85546875" bestFit="1" customWidth="1"/>
    <col min="5901" max="5901" width="0" hidden="1" customWidth="1"/>
    <col min="5902" max="5902" width="11.42578125" customWidth="1"/>
    <col min="5903" max="5903" width="2.5703125" customWidth="1"/>
    <col min="5904" max="5904" width="6.28515625" bestFit="1" customWidth="1"/>
    <col min="5905" max="5905" width="13.42578125" bestFit="1" customWidth="1"/>
    <col min="5906" max="5906" width="12.28515625" bestFit="1" customWidth="1"/>
    <col min="5907" max="5907" width="8" bestFit="1" customWidth="1"/>
    <col min="5908" max="5909" width="10" bestFit="1" customWidth="1"/>
    <col min="5910" max="5910" width="6" bestFit="1" customWidth="1"/>
    <col min="5911" max="6144" width="11.42578125" customWidth="1"/>
    <col min="6145" max="6145" width="5.42578125" customWidth="1"/>
    <col min="6146" max="6146" width="9.5703125" bestFit="1" customWidth="1"/>
    <col min="6147" max="6147" width="5.28515625" bestFit="1" customWidth="1"/>
    <col min="6148" max="6148" width="45.85546875" customWidth="1"/>
    <col min="6149" max="6149" width="20.85546875" customWidth="1"/>
    <col min="6150" max="6150" width="9.42578125" bestFit="1" customWidth="1"/>
    <col min="6151" max="6151" width="13" bestFit="1" customWidth="1"/>
    <col min="6152" max="6152" width="8.140625" customWidth="1"/>
    <col min="6153" max="6153" width="14.140625" customWidth="1"/>
    <col min="6154" max="6154" width="3.140625" customWidth="1"/>
    <col min="6155" max="6155" width="14.42578125" customWidth="1"/>
    <col min="6156" max="6156" width="11.85546875" bestFit="1" customWidth="1"/>
    <col min="6157" max="6157" width="0" hidden="1" customWidth="1"/>
    <col min="6158" max="6158" width="11.42578125" customWidth="1"/>
    <col min="6159" max="6159" width="2.5703125" customWidth="1"/>
    <col min="6160" max="6160" width="6.28515625" bestFit="1" customWidth="1"/>
    <col min="6161" max="6161" width="13.42578125" bestFit="1" customWidth="1"/>
    <col min="6162" max="6162" width="12.28515625" bestFit="1" customWidth="1"/>
    <col min="6163" max="6163" width="8" bestFit="1" customWidth="1"/>
    <col min="6164" max="6165" width="10" bestFit="1" customWidth="1"/>
    <col min="6166" max="6166" width="6" bestFit="1" customWidth="1"/>
    <col min="6167" max="6400" width="11.42578125" customWidth="1"/>
    <col min="6401" max="6401" width="5.42578125" customWidth="1"/>
    <col min="6402" max="6402" width="9.5703125" bestFit="1" customWidth="1"/>
    <col min="6403" max="6403" width="5.28515625" bestFit="1" customWidth="1"/>
    <col min="6404" max="6404" width="45.85546875" customWidth="1"/>
    <col min="6405" max="6405" width="20.85546875" customWidth="1"/>
    <col min="6406" max="6406" width="9.42578125" bestFit="1" customWidth="1"/>
    <col min="6407" max="6407" width="13" bestFit="1" customWidth="1"/>
    <col min="6408" max="6408" width="8.140625" customWidth="1"/>
    <col min="6409" max="6409" width="14.140625" customWidth="1"/>
    <col min="6410" max="6410" width="3.140625" customWidth="1"/>
    <col min="6411" max="6411" width="14.42578125" customWidth="1"/>
    <col min="6412" max="6412" width="11.85546875" bestFit="1" customWidth="1"/>
    <col min="6413" max="6413" width="0" hidden="1" customWidth="1"/>
    <col min="6414" max="6414" width="11.42578125" customWidth="1"/>
    <col min="6415" max="6415" width="2.5703125" customWidth="1"/>
    <col min="6416" max="6416" width="6.28515625" bestFit="1" customWidth="1"/>
    <col min="6417" max="6417" width="13.42578125" bestFit="1" customWidth="1"/>
    <col min="6418" max="6418" width="12.28515625" bestFit="1" customWidth="1"/>
    <col min="6419" max="6419" width="8" bestFit="1" customWidth="1"/>
    <col min="6420" max="6421" width="10" bestFit="1" customWidth="1"/>
    <col min="6422" max="6422" width="6" bestFit="1" customWidth="1"/>
    <col min="6423" max="6656" width="11.42578125" customWidth="1"/>
    <col min="6657" max="6657" width="5.42578125" customWidth="1"/>
    <col min="6658" max="6658" width="9.5703125" bestFit="1" customWidth="1"/>
    <col min="6659" max="6659" width="5.28515625" bestFit="1" customWidth="1"/>
    <col min="6660" max="6660" width="45.85546875" customWidth="1"/>
    <col min="6661" max="6661" width="20.85546875" customWidth="1"/>
    <col min="6662" max="6662" width="9.42578125" bestFit="1" customWidth="1"/>
    <col min="6663" max="6663" width="13" bestFit="1" customWidth="1"/>
    <col min="6664" max="6664" width="8.140625" customWidth="1"/>
    <col min="6665" max="6665" width="14.140625" customWidth="1"/>
    <col min="6666" max="6666" width="3.140625" customWidth="1"/>
    <col min="6667" max="6667" width="14.42578125" customWidth="1"/>
    <col min="6668" max="6668" width="11.85546875" bestFit="1" customWidth="1"/>
    <col min="6669" max="6669" width="0" hidden="1" customWidth="1"/>
    <col min="6670" max="6670" width="11.42578125" customWidth="1"/>
    <col min="6671" max="6671" width="2.5703125" customWidth="1"/>
    <col min="6672" max="6672" width="6.28515625" bestFit="1" customWidth="1"/>
    <col min="6673" max="6673" width="13.42578125" bestFit="1" customWidth="1"/>
    <col min="6674" max="6674" width="12.28515625" bestFit="1" customWidth="1"/>
    <col min="6675" max="6675" width="8" bestFit="1" customWidth="1"/>
    <col min="6676" max="6677" width="10" bestFit="1" customWidth="1"/>
    <col min="6678" max="6678" width="6" bestFit="1" customWidth="1"/>
    <col min="6679" max="6912" width="11.42578125" customWidth="1"/>
    <col min="6913" max="6913" width="5.42578125" customWidth="1"/>
    <col min="6914" max="6914" width="9.5703125" bestFit="1" customWidth="1"/>
    <col min="6915" max="6915" width="5.28515625" bestFit="1" customWidth="1"/>
    <col min="6916" max="6916" width="45.85546875" customWidth="1"/>
    <col min="6917" max="6917" width="20.85546875" customWidth="1"/>
    <col min="6918" max="6918" width="9.42578125" bestFit="1" customWidth="1"/>
    <col min="6919" max="6919" width="13" bestFit="1" customWidth="1"/>
    <col min="6920" max="6920" width="8.140625" customWidth="1"/>
    <col min="6921" max="6921" width="14.140625" customWidth="1"/>
    <col min="6922" max="6922" width="3.140625" customWidth="1"/>
    <col min="6923" max="6923" width="14.42578125" customWidth="1"/>
    <col min="6924" max="6924" width="11.85546875" bestFit="1" customWidth="1"/>
    <col min="6925" max="6925" width="0" hidden="1" customWidth="1"/>
    <col min="6926" max="6926" width="11.42578125" customWidth="1"/>
    <col min="6927" max="6927" width="2.5703125" customWidth="1"/>
    <col min="6928" max="6928" width="6.28515625" bestFit="1" customWidth="1"/>
    <col min="6929" max="6929" width="13.42578125" bestFit="1" customWidth="1"/>
    <col min="6930" max="6930" width="12.28515625" bestFit="1" customWidth="1"/>
    <col min="6931" max="6931" width="8" bestFit="1" customWidth="1"/>
    <col min="6932" max="6933" width="10" bestFit="1" customWidth="1"/>
    <col min="6934" max="6934" width="6" bestFit="1" customWidth="1"/>
    <col min="6935" max="7168" width="11.42578125" customWidth="1"/>
    <col min="7169" max="7169" width="5.42578125" customWidth="1"/>
    <col min="7170" max="7170" width="9.5703125" bestFit="1" customWidth="1"/>
    <col min="7171" max="7171" width="5.28515625" bestFit="1" customWidth="1"/>
    <col min="7172" max="7172" width="45.85546875" customWidth="1"/>
    <col min="7173" max="7173" width="20.85546875" customWidth="1"/>
    <col min="7174" max="7174" width="9.42578125" bestFit="1" customWidth="1"/>
    <col min="7175" max="7175" width="13" bestFit="1" customWidth="1"/>
    <col min="7176" max="7176" width="8.140625" customWidth="1"/>
    <col min="7177" max="7177" width="14.140625" customWidth="1"/>
    <col min="7178" max="7178" width="3.140625" customWidth="1"/>
    <col min="7179" max="7179" width="14.42578125" customWidth="1"/>
    <col min="7180" max="7180" width="11.85546875" bestFit="1" customWidth="1"/>
    <col min="7181" max="7181" width="0" hidden="1" customWidth="1"/>
    <col min="7182" max="7182" width="11.42578125" customWidth="1"/>
    <col min="7183" max="7183" width="2.5703125" customWidth="1"/>
    <col min="7184" max="7184" width="6.28515625" bestFit="1" customWidth="1"/>
    <col min="7185" max="7185" width="13.42578125" bestFit="1" customWidth="1"/>
    <col min="7186" max="7186" width="12.28515625" bestFit="1" customWidth="1"/>
    <col min="7187" max="7187" width="8" bestFit="1" customWidth="1"/>
    <col min="7188" max="7189" width="10" bestFit="1" customWidth="1"/>
    <col min="7190" max="7190" width="6" bestFit="1" customWidth="1"/>
    <col min="7191" max="7424" width="11.42578125" customWidth="1"/>
    <col min="7425" max="7425" width="5.42578125" customWidth="1"/>
    <col min="7426" max="7426" width="9.5703125" bestFit="1" customWidth="1"/>
    <col min="7427" max="7427" width="5.28515625" bestFit="1" customWidth="1"/>
    <col min="7428" max="7428" width="45.85546875" customWidth="1"/>
    <col min="7429" max="7429" width="20.85546875" customWidth="1"/>
    <col min="7430" max="7430" width="9.42578125" bestFit="1" customWidth="1"/>
    <col min="7431" max="7431" width="13" bestFit="1" customWidth="1"/>
    <col min="7432" max="7432" width="8.140625" customWidth="1"/>
    <col min="7433" max="7433" width="14.140625" customWidth="1"/>
    <col min="7434" max="7434" width="3.140625" customWidth="1"/>
    <col min="7435" max="7435" width="14.42578125" customWidth="1"/>
    <col min="7436" max="7436" width="11.85546875" bestFit="1" customWidth="1"/>
    <col min="7437" max="7437" width="0" hidden="1" customWidth="1"/>
    <col min="7438" max="7438" width="11.42578125" customWidth="1"/>
    <col min="7439" max="7439" width="2.5703125" customWidth="1"/>
    <col min="7440" max="7440" width="6.28515625" bestFit="1" customWidth="1"/>
    <col min="7441" max="7441" width="13.42578125" bestFit="1" customWidth="1"/>
    <col min="7442" max="7442" width="12.28515625" bestFit="1" customWidth="1"/>
    <col min="7443" max="7443" width="8" bestFit="1" customWidth="1"/>
    <col min="7444" max="7445" width="10" bestFit="1" customWidth="1"/>
    <col min="7446" max="7446" width="6" bestFit="1" customWidth="1"/>
    <col min="7447" max="7680" width="11.42578125" customWidth="1"/>
    <col min="7681" max="7681" width="5.42578125" customWidth="1"/>
    <col min="7682" max="7682" width="9.5703125" bestFit="1" customWidth="1"/>
    <col min="7683" max="7683" width="5.28515625" bestFit="1" customWidth="1"/>
    <col min="7684" max="7684" width="45.85546875" customWidth="1"/>
    <col min="7685" max="7685" width="20.85546875" customWidth="1"/>
    <col min="7686" max="7686" width="9.42578125" bestFit="1" customWidth="1"/>
    <col min="7687" max="7687" width="13" bestFit="1" customWidth="1"/>
    <col min="7688" max="7688" width="8.140625" customWidth="1"/>
    <col min="7689" max="7689" width="14.140625" customWidth="1"/>
    <col min="7690" max="7690" width="3.140625" customWidth="1"/>
    <col min="7691" max="7691" width="14.42578125" customWidth="1"/>
    <col min="7692" max="7692" width="11.85546875" bestFit="1" customWidth="1"/>
    <col min="7693" max="7693" width="0" hidden="1" customWidth="1"/>
    <col min="7694" max="7694" width="11.42578125" customWidth="1"/>
    <col min="7695" max="7695" width="2.5703125" customWidth="1"/>
    <col min="7696" max="7696" width="6.28515625" bestFit="1" customWidth="1"/>
    <col min="7697" max="7697" width="13.42578125" bestFit="1" customWidth="1"/>
    <col min="7698" max="7698" width="12.28515625" bestFit="1" customWidth="1"/>
    <col min="7699" max="7699" width="8" bestFit="1" customWidth="1"/>
    <col min="7700" max="7701" width="10" bestFit="1" customWidth="1"/>
    <col min="7702" max="7702" width="6" bestFit="1" customWidth="1"/>
    <col min="7703" max="7936" width="11.42578125" customWidth="1"/>
    <col min="7937" max="7937" width="5.42578125" customWidth="1"/>
    <col min="7938" max="7938" width="9.5703125" bestFit="1" customWidth="1"/>
    <col min="7939" max="7939" width="5.28515625" bestFit="1" customWidth="1"/>
    <col min="7940" max="7940" width="45.85546875" customWidth="1"/>
    <col min="7941" max="7941" width="20.85546875" customWidth="1"/>
    <col min="7942" max="7942" width="9.42578125" bestFit="1" customWidth="1"/>
    <col min="7943" max="7943" width="13" bestFit="1" customWidth="1"/>
    <col min="7944" max="7944" width="8.140625" customWidth="1"/>
    <col min="7945" max="7945" width="14.140625" customWidth="1"/>
    <col min="7946" max="7946" width="3.140625" customWidth="1"/>
    <col min="7947" max="7947" width="14.42578125" customWidth="1"/>
    <col min="7948" max="7948" width="11.85546875" bestFit="1" customWidth="1"/>
    <col min="7949" max="7949" width="0" hidden="1" customWidth="1"/>
    <col min="7950" max="7950" width="11.42578125" customWidth="1"/>
    <col min="7951" max="7951" width="2.5703125" customWidth="1"/>
    <col min="7952" max="7952" width="6.28515625" bestFit="1" customWidth="1"/>
    <col min="7953" max="7953" width="13.42578125" bestFit="1" customWidth="1"/>
    <col min="7954" max="7954" width="12.28515625" bestFit="1" customWidth="1"/>
    <col min="7955" max="7955" width="8" bestFit="1" customWidth="1"/>
    <col min="7956" max="7957" width="10" bestFit="1" customWidth="1"/>
    <col min="7958" max="7958" width="6" bestFit="1" customWidth="1"/>
    <col min="7959" max="8192" width="11.42578125" customWidth="1"/>
    <col min="8193" max="8193" width="5.42578125" customWidth="1"/>
    <col min="8194" max="8194" width="9.5703125" bestFit="1" customWidth="1"/>
    <col min="8195" max="8195" width="5.28515625" bestFit="1" customWidth="1"/>
    <col min="8196" max="8196" width="45.85546875" customWidth="1"/>
    <col min="8197" max="8197" width="20.85546875" customWidth="1"/>
    <col min="8198" max="8198" width="9.42578125" bestFit="1" customWidth="1"/>
    <col min="8199" max="8199" width="13" bestFit="1" customWidth="1"/>
    <col min="8200" max="8200" width="8.140625" customWidth="1"/>
    <col min="8201" max="8201" width="14.140625" customWidth="1"/>
    <col min="8202" max="8202" width="3.140625" customWidth="1"/>
    <col min="8203" max="8203" width="14.42578125" customWidth="1"/>
    <col min="8204" max="8204" width="11.85546875" bestFit="1" customWidth="1"/>
    <col min="8205" max="8205" width="0" hidden="1" customWidth="1"/>
    <col min="8206" max="8206" width="11.42578125" customWidth="1"/>
    <col min="8207" max="8207" width="2.5703125" customWidth="1"/>
    <col min="8208" max="8208" width="6.28515625" bestFit="1" customWidth="1"/>
    <col min="8209" max="8209" width="13.42578125" bestFit="1" customWidth="1"/>
    <col min="8210" max="8210" width="12.28515625" bestFit="1" customWidth="1"/>
    <col min="8211" max="8211" width="8" bestFit="1" customWidth="1"/>
    <col min="8212" max="8213" width="10" bestFit="1" customWidth="1"/>
    <col min="8214" max="8214" width="6" bestFit="1" customWidth="1"/>
    <col min="8215" max="8448" width="11.42578125" customWidth="1"/>
    <col min="8449" max="8449" width="5.42578125" customWidth="1"/>
    <col min="8450" max="8450" width="9.5703125" bestFit="1" customWidth="1"/>
    <col min="8451" max="8451" width="5.28515625" bestFit="1" customWidth="1"/>
    <col min="8452" max="8452" width="45.85546875" customWidth="1"/>
    <col min="8453" max="8453" width="20.85546875" customWidth="1"/>
    <col min="8454" max="8454" width="9.42578125" bestFit="1" customWidth="1"/>
    <col min="8455" max="8455" width="13" bestFit="1" customWidth="1"/>
    <col min="8456" max="8456" width="8.140625" customWidth="1"/>
    <col min="8457" max="8457" width="14.140625" customWidth="1"/>
    <col min="8458" max="8458" width="3.140625" customWidth="1"/>
    <col min="8459" max="8459" width="14.42578125" customWidth="1"/>
    <col min="8460" max="8460" width="11.85546875" bestFit="1" customWidth="1"/>
    <col min="8461" max="8461" width="0" hidden="1" customWidth="1"/>
    <col min="8462" max="8462" width="11.42578125" customWidth="1"/>
    <col min="8463" max="8463" width="2.5703125" customWidth="1"/>
    <col min="8464" max="8464" width="6.28515625" bestFit="1" customWidth="1"/>
    <col min="8465" max="8465" width="13.42578125" bestFit="1" customWidth="1"/>
    <col min="8466" max="8466" width="12.28515625" bestFit="1" customWidth="1"/>
    <col min="8467" max="8467" width="8" bestFit="1" customWidth="1"/>
    <col min="8468" max="8469" width="10" bestFit="1" customWidth="1"/>
    <col min="8470" max="8470" width="6" bestFit="1" customWidth="1"/>
    <col min="8471" max="8704" width="11.42578125" customWidth="1"/>
    <col min="8705" max="8705" width="5.42578125" customWidth="1"/>
    <col min="8706" max="8706" width="9.5703125" bestFit="1" customWidth="1"/>
    <col min="8707" max="8707" width="5.28515625" bestFit="1" customWidth="1"/>
    <col min="8708" max="8708" width="45.85546875" customWidth="1"/>
    <col min="8709" max="8709" width="20.85546875" customWidth="1"/>
    <col min="8710" max="8710" width="9.42578125" bestFit="1" customWidth="1"/>
    <col min="8711" max="8711" width="13" bestFit="1" customWidth="1"/>
    <col min="8712" max="8712" width="8.140625" customWidth="1"/>
    <col min="8713" max="8713" width="14.140625" customWidth="1"/>
    <col min="8714" max="8714" width="3.140625" customWidth="1"/>
    <col min="8715" max="8715" width="14.42578125" customWidth="1"/>
    <col min="8716" max="8716" width="11.85546875" bestFit="1" customWidth="1"/>
    <col min="8717" max="8717" width="0" hidden="1" customWidth="1"/>
    <col min="8718" max="8718" width="11.42578125" customWidth="1"/>
    <col min="8719" max="8719" width="2.5703125" customWidth="1"/>
    <col min="8720" max="8720" width="6.28515625" bestFit="1" customWidth="1"/>
    <col min="8721" max="8721" width="13.42578125" bestFit="1" customWidth="1"/>
    <col min="8722" max="8722" width="12.28515625" bestFit="1" customWidth="1"/>
    <col min="8723" max="8723" width="8" bestFit="1" customWidth="1"/>
    <col min="8724" max="8725" width="10" bestFit="1" customWidth="1"/>
    <col min="8726" max="8726" width="6" bestFit="1" customWidth="1"/>
    <col min="8727" max="8960" width="11.42578125" customWidth="1"/>
    <col min="8961" max="8961" width="5.42578125" customWidth="1"/>
    <col min="8962" max="8962" width="9.5703125" bestFit="1" customWidth="1"/>
    <col min="8963" max="8963" width="5.28515625" bestFit="1" customWidth="1"/>
    <col min="8964" max="8964" width="45.85546875" customWidth="1"/>
    <col min="8965" max="8965" width="20.85546875" customWidth="1"/>
    <col min="8966" max="8966" width="9.42578125" bestFit="1" customWidth="1"/>
    <col min="8967" max="8967" width="13" bestFit="1" customWidth="1"/>
    <col min="8968" max="8968" width="8.140625" customWidth="1"/>
    <col min="8969" max="8969" width="14.140625" customWidth="1"/>
    <col min="8970" max="8970" width="3.140625" customWidth="1"/>
    <col min="8971" max="8971" width="14.42578125" customWidth="1"/>
    <col min="8972" max="8972" width="11.85546875" bestFit="1" customWidth="1"/>
    <col min="8973" max="8973" width="0" hidden="1" customWidth="1"/>
    <col min="8974" max="8974" width="11.42578125" customWidth="1"/>
    <col min="8975" max="8975" width="2.5703125" customWidth="1"/>
    <col min="8976" max="8976" width="6.28515625" bestFit="1" customWidth="1"/>
    <col min="8977" max="8977" width="13.42578125" bestFit="1" customWidth="1"/>
    <col min="8978" max="8978" width="12.28515625" bestFit="1" customWidth="1"/>
    <col min="8979" max="8979" width="8" bestFit="1" customWidth="1"/>
    <col min="8980" max="8981" width="10" bestFit="1" customWidth="1"/>
    <col min="8982" max="8982" width="6" bestFit="1" customWidth="1"/>
    <col min="8983" max="9216" width="11.42578125" customWidth="1"/>
    <col min="9217" max="9217" width="5.42578125" customWidth="1"/>
    <col min="9218" max="9218" width="9.5703125" bestFit="1" customWidth="1"/>
    <col min="9219" max="9219" width="5.28515625" bestFit="1" customWidth="1"/>
    <col min="9220" max="9220" width="45.85546875" customWidth="1"/>
    <col min="9221" max="9221" width="20.85546875" customWidth="1"/>
    <col min="9222" max="9222" width="9.42578125" bestFit="1" customWidth="1"/>
    <col min="9223" max="9223" width="13" bestFit="1" customWidth="1"/>
    <col min="9224" max="9224" width="8.140625" customWidth="1"/>
    <col min="9225" max="9225" width="14.140625" customWidth="1"/>
    <col min="9226" max="9226" width="3.140625" customWidth="1"/>
    <col min="9227" max="9227" width="14.42578125" customWidth="1"/>
    <col min="9228" max="9228" width="11.85546875" bestFit="1" customWidth="1"/>
    <col min="9229" max="9229" width="0" hidden="1" customWidth="1"/>
    <col min="9230" max="9230" width="11.42578125" customWidth="1"/>
    <col min="9231" max="9231" width="2.5703125" customWidth="1"/>
    <col min="9232" max="9232" width="6.28515625" bestFit="1" customWidth="1"/>
    <col min="9233" max="9233" width="13.42578125" bestFit="1" customWidth="1"/>
    <col min="9234" max="9234" width="12.28515625" bestFit="1" customWidth="1"/>
    <col min="9235" max="9235" width="8" bestFit="1" customWidth="1"/>
    <col min="9236" max="9237" width="10" bestFit="1" customWidth="1"/>
    <col min="9238" max="9238" width="6" bestFit="1" customWidth="1"/>
    <col min="9239" max="9472" width="11.42578125" customWidth="1"/>
    <col min="9473" max="9473" width="5.42578125" customWidth="1"/>
    <col min="9474" max="9474" width="9.5703125" bestFit="1" customWidth="1"/>
    <col min="9475" max="9475" width="5.28515625" bestFit="1" customWidth="1"/>
    <col min="9476" max="9476" width="45.85546875" customWidth="1"/>
    <col min="9477" max="9477" width="20.85546875" customWidth="1"/>
    <col min="9478" max="9478" width="9.42578125" bestFit="1" customWidth="1"/>
    <col min="9479" max="9479" width="13" bestFit="1" customWidth="1"/>
    <col min="9480" max="9480" width="8.140625" customWidth="1"/>
    <col min="9481" max="9481" width="14.140625" customWidth="1"/>
    <col min="9482" max="9482" width="3.140625" customWidth="1"/>
    <col min="9483" max="9483" width="14.42578125" customWidth="1"/>
    <col min="9484" max="9484" width="11.85546875" bestFit="1" customWidth="1"/>
    <col min="9485" max="9485" width="0" hidden="1" customWidth="1"/>
    <col min="9486" max="9486" width="11.42578125" customWidth="1"/>
    <col min="9487" max="9487" width="2.5703125" customWidth="1"/>
    <col min="9488" max="9488" width="6.28515625" bestFit="1" customWidth="1"/>
    <col min="9489" max="9489" width="13.42578125" bestFit="1" customWidth="1"/>
    <col min="9490" max="9490" width="12.28515625" bestFit="1" customWidth="1"/>
    <col min="9491" max="9491" width="8" bestFit="1" customWidth="1"/>
    <col min="9492" max="9493" width="10" bestFit="1" customWidth="1"/>
    <col min="9494" max="9494" width="6" bestFit="1" customWidth="1"/>
    <col min="9495" max="9728" width="11.42578125" customWidth="1"/>
    <col min="9729" max="9729" width="5.42578125" customWidth="1"/>
    <col min="9730" max="9730" width="9.5703125" bestFit="1" customWidth="1"/>
    <col min="9731" max="9731" width="5.28515625" bestFit="1" customWidth="1"/>
    <col min="9732" max="9732" width="45.85546875" customWidth="1"/>
    <col min="9733" max="9733" width="20.85546875" customWidth="1"/>
    <col min="9734" max="9734" width="9.42578125" bestFit="1" customWidth="1"/>
    <col min="9735" max="9735" width="13" bestFit="1" customWidth="1"/>
    <col min="9736" max="9736" width="8.140625" customWidth="1"/>
    <col min="9737" max="9737" width="14.140625" customWidth="1"/>
    <col min="9738" max="9738" width="3.140625" customWidth="1"/>
    <col min="9739" max="9739" width="14.42578125" customWidth="1"/>
    <col min="9740" max="9740" width="11.85546875" bestFit="1" customWidth="1"/>
    <col min="9741" max="9741" width="0" hidden="1" customWidth="1"/>
    <col min="9742" max="9742" width="11.42578125" customWidth="1"/>
    <col min="9743" max="9743" width="2.5703125" customWidth="1"/>
    <col min="9744" max="9744" width="6.28515625" bestFit="1" customWidth="1"/>
    <col min="9745" max="9745" width="13.42578125" bestFit="1" customWidth="1"/>
    <col min="9746" max="9746" width="12.28515625" bestFit="1" customWidth="1"/>
    <col min="9747" max="9747" width="8" bestFit="1" customWidth="1"/>
    <col min="9748" max="9749" width="10" bestFit="1" customWidth="1"/>
    <col min="9750" max="9750" width="6" bestFit="1" customWidth="1"/>
    <col min="9751" max="9984" width="11.42578125" customWidth="1"/>
    <col min="9985" max="9985" width="5.42578125" customWidth="1"/>
    <col min="9986" max="9986" width="9.5703125" bestFit="1" customWidth="1"/>
    <col min="9987" max="9987" width="5.28515625" bestFit="1" customWidth="1"/>
    <col min="9988" max="9988" width="45.85546875" customWidth="1"/>
    <col min="9989" max="9989" width="20.85546875" customWidth="1"/>
    <col min="9990" max="9990" width="9.42578125" bestFit="1" customWidth="1"/>
    <col min="9991" max="9991" width="13" bestFit="1" customWidth="1"/>
    <col min="9992" max="9992" width="8.140625" customWidth="1"/>
    <col min="9993" max="9993" width="14.140625" customWidth="1"/>
    <col min="9994" max="9994" width="3.140625" customWidth="1"/>
    <col min="9995" max="9995" width="14.42578125" customWidth="1"/>
    <col min="9996" max="9996" width="11.85546875" bestFit="1" customWidth="1"/>
    <col min="9997" max="9997" width="0" hidden="1" customWidth="1"/>
    <col min="9998" max="9998" width="11.42578125" customWidth="1"/>
    <col min="9999" max="9999" width="2.5703125" customWidth="1"/>
    <col min="10000" max="10000" width="6.28515625" bestFit="1" customWidth="1"/>
    <col min="10001" max="10001" width="13.42578125" bestFit="1" customWidth="1"/>
    <col min="10002" max="10002" width="12.28515625" bestFit="1" customWidth="1"/>
    <col min="10003" max="10003" width="8" bestFit="1" customWidth="1"/>
    <col min="10004" max="10005" width="10" bestFit="1" customWidth="1"/>
    <col min="10006" max="10006" width="6" bestFit="1" customWidth="1"/>
    <col min="10007" max="10240" width="11.42578125" customWidth="1"/>
    <col min="10241" max="10241" width="5.42578125" customWidth="1"/>
    <col min="10242" max="10242" width="9.5703125" bestFit="1" customWidth="1"/>
    <col min="10243" max="10243" width="5.28515625" bestFit="1" customWidth="1"/>
    <col min="10244" max="10244" width="45.85546875" customWidth="1"/>
    <col min="10245" max="10245" width="20.85546875" customWidth="1"/>
    <col min="10246" max="10246" width="9.42578125" bestFit="1" customWidth="1"/>
    <col min="10247" max="10247" width="13" bestFit="1" customWidth="1"/>
    <col min="10248" max="10248" width="8.140625" customWidth="1"/>
    <col min="10249" max="10249" width="14.140625" customWidth="1"/>
    <col min="10250" max="10250" width="3.140625" customWidth="1"/>
    <col min="10251" max="10251" width="14.42578125" customWidth="1"/>
    <col min="10252" max="10252" width="11.85546875" bestFit="1" customWidth="1"/>
    <col min="10253" max="10253" width="0" hidden="1" customWidth="1"/>
    <col min="10254" max="10254" width="11.42578125" customWidth="1"/>
    <col min="10255" max="10255" width="2.5703125" customWidth="1"/>
    <col min="10256" max="10256" width="6.28515625" bestFit="1" customWidth="1"/>
    <col min="10257" max="10257" width="13.42578125" bestFit="1" customWidth="1"/>
    <col min="10258" max="10258" width="12.28515625" bestFit="1" customWidth="1"/>
    <col min="10259" max="10259" width="8" bestFit="1" customWidth="1"/>
    <col min="10260" max="10261" width="10" bestFit="1" customWidth="1"/>
    <col min="10262" max="10262" width="6" bestFit="1" customWidth="1"/>
    <col min="10263" max="10496" width="11.42578125" customWidth="1"/>
    <col min="10497" max="10497" width="5.42578125" customWidth="1"/>
    <col min="10498" max="10498" width="9.5703125" bestFit="1" customWidth="1"/>
    <col min="10499" max="10499" width="5.28515625" bestFit="1" customWidth="1"/>
    <col min="10500" max="10500" width="45.85546875" customWidth="1"/>
    <col min="10501" max="10501" width="20.85546875" customWidth="1"/>
    <col min="10502" max="10502" width="9.42578125" bestFit="1" customWidth="1"/>
    <col min="10503" max="10503" width="13" bestFit="1" customWidth="1"/>
    <col min="10504" max="10504" width="8.140625" customWidth="1"/>
    <col min="10505" max="10505" width="14.140625" customWidth="1"/>
    <col min="10506" max="10506" width="3.140625" customWidth="1"/>
    <col min="10507" max="10507" width="14.42578125" customWidth="1"/>
    <col min="10508" max="10508" width="11.85546875" bestFit="1" customWidth="1"/>
    <col min="10509" max="10509" width="0" hidden="1" customWidth="1"/>
    <col min="10510" max="10510" width="11.42578125" customWidth="1"/>
    <col min="10511" max="10511" width="2.5703125" customWidth="1"/>
    <col min="10512" max="10512" width="6.28515625" bestFit="1" customWidth="1"/>
    <col min="10513" max="10513" width="13.42578125" bestFit="1" customWidth="1"/>
    <col min="10514" max="10514" width="12.28515625" bestFit="1" customWidth="1"/>
    <col min="10515" max="10515" width="8" bestFit="1" customWidth="1"/>
    <col min="10516" max="10517" width="10" bestFit="1" customWidth="1"/>
    <col min="10518" max="10518" width="6" bestFit="1" customWidth="1"/>
    <col min="10519" max="10752" width="11.42578125" customWidth="1"/>
    <col min="10753" max="10753" width="5.42578125" customWidth="1"/>
    <col min="10754" max="10754" width="9.5703125" bestFit="1" customWidth="1"/>
    <col min="10755" max="10755" width="5.28515625" bestFit="1" customWidth="1"/>
    <col min="10756" max="10756" width="45.85546875" customWidth="1"/>
    <col min="10757" max="10757" width="20.85546875" customWidth="1"/>
    <col min="10758" max="10758" width="9.42578125" bestFit="1" customWidth="1"/>
    <col min="10759" max="10759" width="13" bestFit="1" customWidth="1"/>
    <col min="10760" max="10760" width="8.140625" customWidth="1"/>
    <col min="10761" max="10761" width="14.140625" customWidth="1"/>
    <col min="10762" max="10762" width="3.140625" customWidth="1"/>
    <col min="10763" max="10763" width="14.42578125" customWidth="1"/>
    <col min="10764" max="10764" width="11.85546875" bestFit="1" customWidth="1"/>
    <col min="10765" max="10765" width="0" hidden="1" customWidth="1"/>
    <col min="10766" max="10766" width="11.42578125" customWidth="1"/>
    <col min="10767" max="10767" width="2.5703125" customWidth="1"/>
    <col min="10768" max="10768" width="6.28515625" bestFit="1" customWidth="1"/>
    <col min="10769" max="10769" width="13.42578125" bestFit="1" customWidth="1"/>
    <col min="10770" max="10770" width="12.28515625" bestFit="1" customWidth="1"/>
    <col min="10771" max="10771" width="8" bestFit="1" customWidth="1"/>
    <col min="10772" max="10773" width="10" bestFit="1" customWidth="1"/>
    <col min="10774" max="10774" width="6" bestFit="1" customWidth="1"/>
    <col min="10775" max="11008" width="11.42578125" customWidth="1"/>
    <col min="11009" max="11009" width="5.42578125" customWidth="1"/>
    <col min="11010" max="11010" width="9.5703125" bestFit="1" customWidth="1"/>
    <col min="11011" max="11011" width="5.28515625" bestFit="1" customWidth="1"/>
    <col min="11012" max="11012" width="45.85546875" customWidth="1"/>
    <col min="11013" max="11013" width="20.85546875" customWidth="1"/>
    <col min="11014" max="11014" width="9.42578125" bestFit="1" customWidth="1"/>
    <col min="11015" max="11015" width="13" bestFit="1" customWidth="1"/>
    <col min="11016" max="11016" width="8.140625" customWidth="1"/>
    <col min="11017" max="11017" width="14.140625" customWidth="1"/>
    <col min="11018" max="11018" width="3.140625" customWidth="1"/>
    <col min="11019" max="11019" width="14.42578125" customWidth="1"/>
    <col min="11020" max="11020" width="11.85546875" bestFit="1" customWidth="1"/>
    <col min="11021" max="11021" width="0" hidden="1" customWidth="1"/>
    <col min="11022" max="11022" width="11.42578125" customWidth="1"/>
    <col min="11023" max="11023" width="2.5703125" customWidth="1"/>
    <col min="11024" max="11024" width="6.28515625" bestFit="1" customWidth="1"/>
    <col min="11025" max="11025" width="13.42578125" bestFit="1" customWidth="1"/>
    <col min="11026" max="11026" width="12.28515625" bestFit="1" customWidth="1"/>
    <col min="11027" max="11027" width="8" bestFit="1" customWidth="1"/>
    <col min="11028" max="11029" width="10" bestFit="1" customWidth="1"/>
    <col min="11030" max="11030" width="6" bestFit="1" customWidth="1"/>
    <col min="11031" max="11264" width="11.42578125" customWidth="1"/>
    <col min="11265" max="11265" width="5.42578125" customWidth="1"/>
    <col min="11266" max="11266" width="9.5703125" bestFit="1" customWidth="1"/>
    <col min="11267" max="11267" width="5.28515625" bestFit="1" customWidth="1"/>
    <col min="11268" max="11268" width="45.85546875" customWidth="1"/>
    <col min="11269" max="11269" width="20.85546875" customWidth="1"/>
    <col min="11270" max="11270" width="9.42578125" bestFit="1" customWidth="1"/>
    <col min="11271" max="11271" width="13" bestFit="1" customWidth="1"/>
    <col min="11272" max="11272" width="8.140625" customWidth="1"/>
    <col min="11273" max="11273" width="14.140625" customWidth="1"/>
    <col min="11274" max="11274" width="3.140625" customWidth="1"/>
    <col min="11275" max="11275" width="14.42578125" customWidth="1"/>
    <col min="11276" max="11276" width="11.85546875" bestFit="1" customWidth="1"/>
    <col min="11277" max="11277" width="0" hidden="1" customWidth="1"/>
    <col min="11278" max="11278" width="11.42578125" customWidth="1"/>
    <col min="11279" max="11279" width="2.5703125" customWidth="1"/>
    <col min="11280" max="11280" width="6.28515625" bestFit="1" customWidth="1"/>
    <col min="11281" max="11281" width="13.42578125" bestFit="1" customWidth="1"/>
    <col min="11282" max="11282" width="12.28515625" bestFit="1" customWidth="1"/>
    <col min="11283" max="11283" width="8" bestFit="1" customWidth="1"/>
    <col min="11284" max="11285" width="10" bestFit="1" customWidth="1"/>
    <col min="11286" max="11286" width="6" bestFit="1" customWidth="1"/>
    <col min="11287" max="11520" width="11.42578125" customWidth="1"/>
    <col min="11521" max="11521" width="5.42578125" customWidth="1"/>
    <col min="11522" max="11522" width="9.5703125" bestFit="1" customWidth="1"/>
    <col min="11523" max="11523" width="5.28515625" bestFit="1" customWidth="1"/>
    <col min="11524" max="11524" width="45.85546875" customWidth="1"/>
    <col min="11525" max="11525" width="20.85546875" customWidth="1"/>
    <col min="11526" max="11526" width="9.42578125" bestFit="1" customWidth="1"/>
    <col min="11527" max="11527" width="13" bestFit="1" customWidth="1"/>
    <col min="11528" max="11528" width="8.140625" customWidth="1"/>
    <col min="11529" max="11529" width="14.140625" customWidth="1"/>
    <col min="11530" max="11530" width="3.140625" customWidth="1"/>
    <col min="11531" max="11531" width="14.42578125" customWidth="1"/>
    <col min="11532" max="11532" width="11.85546875" bestFit="1" customWidth="1"/>
    <col min="11533" max="11533" width="0" hidden="1" customWidth="1"/>
    <col min="11534" max="11534" width="11.42578125" customWidth="1"/>
    <col min="11535" max="11535" width="2.5703125" customWidth="1"/>
    <col min="11536" max="11536" width="6.28515625" bestFit="1" customWidth="1"/>
    <col min="11537" max="11537" width="13.42578125" bestFit="1" customWidth="1"/>
    <col min="11538" max="11538" width="12.28515625" bestFit="1" customWidth="1"/>
    <col min="11539" max="11539" width="8" bestFit="1" customWidth="1"/>
    <col min="11540" max="11541" width="10" bestFit="1" customWidth="1"/>
    <col min="11542" max="11542" width="6" bestFit="1" customWidth="1"/>
    <col min="11543" max="11776" width="11.42578125" customWidth="1"/>
    <col min="11777" max="11777" width="5.42578125" customWidth="1"/>
    <col min="11778" max="11778" width="9.5703125" bestFit="1" customWidth="1"/>
    <col min="11779" max="11779" width="5.28515625" bestFit="1" customWidth="1"/>
    <col min="11780" max="11780" width="45.85546875" customWidth="1"/>
    <col min="11781" max="11781" width="20.85546875" customWidth="1"/>
    <col min="11782" max="11782" width="9.42578125" bestFit="1" customWidth="1"/>
    <col min="11783" max="11783" width="13" bestFit="1" customWidth="1"/>
    <col min="11784" max="11784" width="8.140625" customWidth="1"/>
    <col min="11785" max="11785" width="14.140625" customWidth="1"/>
    <col min="11786" max="11786" width="3.140625" customWidth="1"/>
    <col min="11787" max="11787" width="14.42578125" customWidth="1"/>
    <col min="11788" max="11788" width="11.85546875" bestFit="1" customWidth="1"/>
    <col min="11789" max="11789" width="0" hidden="1" customWidth="1"/>
    <col min="11790" max="11790" width="11.42578125" customWidth="1"/>
    <col min="11791" max="11791" width="2.5703125" customWidth="1"/>
    <col min="11792" max="11792" width="6.28515625" bestFit="1" customWidth="1"/>
    <col min="11793" max="11793" width="13.42578125" bestFit="1" customWidth="1"/>
    <col min="11794" max="11794" width="12.28515625" bestFit="1" customWidth="1"/>
    <col min="11795" max="11795" width="8" bestFit="1" customWidth="1"/>
    <col min="11796" max="11797" width="10" bestFit="1" customWidth="1"/>
    <col min="11798" max="11798" width="6" bestFit="1" customWidth="1"/>
    <col min="11799" max="12032" width="11.42578125" customWidth="1"/>
    <col min="12033" max="12033" width="5.42578125" customWidth="1"/>
    <col min="12034" max="12034" width="9.5703125" bestFit="1" customWidth="1"/>
    <col min="12035" max="12035" width="5.28515625" bestFit="1" customWidth="1"/>
    <col min="12036" max="12036" width="45.85546875" customWidth="1"/>
    <col min="12037" max="12037" width="20.85546875" customWidth="1"/>
    <col min="12038" max="12038" width="9.42578125" bestFit="1" customWidth="1"/>
    <col min="12039" max="12039" width="13" bestFit="1" customWidth="1"/>
    <col min="12040" max="12040" width="8.140625" customWidth="1"/>
    <col min="12041" max="12041" width="14.140625" customWidth="1"/>
    <col min="12042" max="12042" width="3.140625" customWidth="1"/>
    <col min="12043" max="12043" width="14.42578125" customWidth="1"/>
    <col min="12044" max="12044" width="11.85546875" bestFit="1" customWidth="1"/>
    <col min="12045" max="12045" width="0" hidden="1" customWidth="1"/>
    <col min="12046" max="12046" width="11.42578125" customWidth="1"/>
    <col min="12047" max="12047" width="2.5703125" customWidth="1"/>
    <col min="12048" max="12048" width="6.28515625" bestFit="1" customWidth="1"/>
    <col min="12049" max="12049" width="13.42578125" bestFit="1" customWidth="1"/>
    <col min="12050" max="12050" width="12.28515625" bestFit="1" customWidth="1"/>
    <col min="12051" max="12051" width="8" bestFit="1" customWidth="1"/>
    <col min="12052" max="12053" width="10" bestFit="1" customWidth="1"/>
    <col min="12054" max="12054" width="6" bestFit="1" customWidth="1"/>
    <col min="12055" max="12288" width="11.42578125" customWidth="1"/>
    <col min="12289" max="12289" width="5.42578125" customWidth="1"/>
    <col min="12290" max="12290" width="9.5703125" bestFit="1" customWidth="1"/>
    <col min="12291" max="12291" width="5.28515625" bestFit="1" customWidth="1"/>
    <col min="12292" max="12292" width="45.85546875" customWidth="1"/>
    <col min="12293" max="12293" width="20.85546875" customWidth="1"/>
    <col min="12294" max="12294" width="9.42578125" bestFit="1" customWidth="1"/>
    <col min="12295" max="12295" width="13" bestFit="1" customWidth="1"/>
    <col min="12296" max="12296" width="8.140625" customWidth="1"/>
    <col min="12297" max="12297" width="14.140625" customWidth="1"/>
    <col min="12298" max="12298" width="3.140625" customWidth="1"/>
    <col min="12299" max="12299" width="14.42578125" customWidth="1"/>
    <col min="12300" max="12300" width="11.85546875" bestFit="1" customWidth="1"/>
    <col min="12301" max="12301" width="0" hidden="1" customWidth="1"/>
    <col min="12302" max="12302" width="11.42578125" customWidth="1"/>
    <col min="12303" max="12303" width="2.5703125" customWidth="1"/>
    <col min="12304" max="12304" width="6.28515625" bestFit="1" customWidth="1"/>
    <col min="12305" max="12305" width="13.42578125" bestFit="1" customWidth="1"/>
    <col min="12306" max="12306" width="12.28515625" bestFit="1" customWidth="1"/>
    <col min="12307" max="12307" width="8" bestFit="1" customWidth="1"/>
    <col min="12308" max="12309" width="10" bestFit="1" customWidth="1"/>
    <col min="12310" max="12310" width="6" bestFit="1" customWidth="1"/>
    <col min="12311" max="12544" width="11.42578125" customWidth="1"/>
    <col min="12545" max="12545" width="5.42578125" customWidth="1"/>
    <col min="12546" max="12546" width="9.5703125" bestFit="1" customWidth="1"/>
    <col min="12547" max="12547" width="5.28515625" bestFit="1" customWidth="1"/>
    <col min="12548" max="12548" width="45.85546875" customWidth="1"/>
    <col min="12549" max="12549" width="20.85546875" customWidth="1"/>
    <col min="12550" max="12550" width="9.42578125" bestFit="1" customWidth="1"/>
    <col min="12551" max="12551" width="13" bestFit="1" customWidth="1"/>
    <col min="12552" max="12552" width="8.140625" customWidth="1"/>
    <col min="12553" max="12553" width="14.140625" customWidth="1"/>
    <col min="12554" max="12554" width="3.140625" customWidth="1"/>
    <col min="12555" max="12555" width="14.42578125" customWidth="1"/>
    <col min="12556" max="12556" width="11.85546875" bestFit="1" customWidth="1"/>
    <col min="12557" max="12557" width="0" hidden="1" customWidth="1"/>
    <col min="12558" max="12558" width="11.42578125" customWidth="1"/>
    <col min="12559" max="12559" width="2.5703125" customWidth="1"/>
    <col min="12560" max="12560" width="6.28515625" bestFit="1" customWidth="1"/>
    <col min="12561" max="12561" width="13.42578125" bestFit="1" customWidth="1"/>
    <col min="12562" max="12562" width="12.28515625" bestFit="1" customWidth="1"/>
    <col min="12563" max="12563" width="8" bestFit="1" customWidth="1"/>
    <col min="12564" max="12565" width="10" bestFit="1" customWidth="1"/>
    <col min="12566" max="12566" width="6" bestFit="1" customWidth="1"/>
    <col min="12567" max="12800" width="11.42578125" customWidth="1"/>
    <col min="12801" max="12801" width="5.42578125" customWidth="1"/>
    <col min="12802" max="12802" width="9.5703125" bestFit="1" customWidth="1"/>
    <col min="12803" max="12803" width="5.28515625" bestFit="1" customWidth="1"/>
    <col min="12804" max="12804" width="45.85546875" customWidth="1"/>
    <col min="12805" max="12805" width="20.85546875" customWidth="1"/>
    <col min="12806" max="12806" width="9.42578125" bestFit="1" customWidth="1"/>
    <col min="12807" max="12807" width="13" bestFit="1" customWidth="1"/>
    <col min="12808" max="12808" width="8.140625" customWidth="1"/>
    <col min="12809" max="12809" width="14.140625" customWidth="1"/>
    <col min="12810" max="12810" width="3.140625" customWidth="1"/>
    <col min="12811" max="12811" width="14.42578125" customWidth="1"/>
    <col min="12812" max="12812" width="11.85546875" bestFit="1" customWidth="1"/>
    <col min="12813" max="12813" width="0" hidden="1" customWidth="1"/>
    <col min="12814" max="12814" width="11.42578125" customWidth="1"/>
    <col min="12815" max="12815" width="2.5703125" customWidth="1"/>
    <col min="12816" max="12816" width="6.28515625" bestFit="1" customWidth="1"/>
    <col min="12817" max="12817" width="13.42578125" bestFit="1" customWidth="1"/>
    <col min="12818" max="12818" width="12.28515625" bestFit="1" customWidth="1"/>
    <col min="12819" max="12819" width="8" bestFit="1" customWidth="1"/>
    <col min="12820" max="12821" width="10" bestFit="1" customWidth="1"/>
    <col min="12822" max="12822" width="6" bestFit="1" customWidth="1"/>
    <col min="12823" max="13056" width="11.42578125" customWidth="1"/>
    <col min="13057" max="13057" width="5.42578125" customWidth="1"/>
    <col min="13058" max="13058" width="9.5703125" bestFit="1" customWidth="1"/>
    <col min="13059" max="13059" width="5.28515625" bestFit="1" customWidth="1"/>
    <col min="13060" max="13060" width="45.85546875" customWidth="1"/>
    <col min="13061" max="13061" width="20.85546875" customWidth="1"/>
    <col min="13062" max="13062" width="9.42578125" bestFit="1" customWidth="1"/>
    <col min="13063" max="13063" width="13" bestFit="1" customWidth="1"/>
    <col min="13064" max="13064" width="8.140625" customWidth="1"/>
    <col min="13065" max="13065" width="14.140625" customWidth="1"/>
    <col min="13066" max="13066" width="3.140625" customWidth="1"/>
    <col min="13067" max="13067" width="14.42578125" customWidth="1"/>
    <col min="13068" max="13068" width="11.85546875" bestFit="1" customWidth="1"/>
    <col min="13069" max="13069" width="0" hidden="1" customWidth="1"/>
    <col min="13070" max="13070" width="11.42578125" customWidth="1"/>
    <col min="13071" max="13071" width="2.5703125" customWidth="1"/>
    <col min="13072" max="13072" width="6.28515625" bestFit="1" customWidth="1"/>
    <col min="13073" max="13073" width="13.42578125" bestFit="1" customWidth="1"/>
    <col min="13074" max="13074" width="12.28515625" bestFit="1" customWidth="1"/>
    <col min="13075" max="13075" width="8" bestFit="1" customWidth="1"/>
    <col min="13076" max="13077" width="10" bestFit="1" customWidth="1"/>
    <col min="13078" max="13078" width="6" bestFit="1" customWidth="1"/>
    <col min="13079" max="13312" width="11.42578125" customWidth="1"/>
    <col min="13313" max="13313" width="5.42578125" customWidth="1"/>
    <col min="13314" max="13314" width="9.5703125" bestFit="1" customWidth="1"/>
    <col min="13315" max="13315" width="5.28515625" bestFit="1" customWidth="1"/>
    <col min="13316" max="13316" width="45.85546875" customWidth="1"/>
    <col min="13317" max="13317" width="20.85546875" customWidth="1"/>
    <col min="13318" max="13318" width="9.42578125" bestFit="1" customWidth="1"/>
    <col min="13319" max="13319" width="13" bestFit="1" customWidth="1"/>
    <col min="13320" max="13320" width="8.140625" customWidth="1"/>
    <col min="13321" max="13321" width="14.140625" customWidth="1"/>
    <col min="13322" max="13322" width="3.140625" customWidth="1"/>
    <col min="13323" max="13323" width="14.42578125" customWidth="1"/>
    <col min="13324" max="13324" width="11.85546875" bestFit="1" customWidth="1"/>
    <col min="13325" max="13325" width="0" hidden="1" customWidth="1"/>
    <col min="13326" max="13326" width="11.42578125" customWidth="1"/>
    <col min="13327" max="13327" width="2.5703125" customWidth="1"/>
    <col min="13328" max="13328" width="6.28515625" bestFit="1" customWidth="1"/>
    <col min="13329" max="13329" width="13.42578125" bestFit="1" customWidth="1"/>
    <col min="13330" max="13330" width="12.28515625" bestFit="1" customWidth="1"/>
    <col min="13331" max="13331" width="8" bestFit="1" customWidth="1"/>
    <col min="13332" max="13333" width="10" bestFit="1" customWidth="1"/>
    <col min="13334" max="13334" width="6" bestFit="1" customWidth="1"/>
    <col min="13335" max="13568" width="11.42578125" customWidth="1"/>
    <col min="13569" max="13569" width="5.42578125" customWidth="1"/>
    <col min="13570" max="13570" width="9.5703125" bestFit="1" customWidth="1"/>
    <col min="13571" max="13571" width="5.28515625" bestFit="1" customWidth="1"/>
    <col min="13572" max="13572" width="45.85546875" customWidth="1"/>
    <col min="13573" max="13573" width="20.85546875" customWidth="1"/>
    <col min="13574" max="13574" width="9.42578125" bestFit="1" customWidth="1"/>
    <col min="13575" max="13575" width="13" bestFit="1" customWidth="1"/>
    <col min="13576" max="13576" width="8.140625" customWidth="1"/>
    <col min="13577" max="13577" width="14.140625" customWidth="1"/>
    <col min="13578" max="13578" width="3.140625" customWidth="1"/>
    <col min="13579" max="13579" width="14.42578125" customWidth="1"/>
    <col min="13580" max="13580" width="11.85546875" bestFit="1" customWidth="1"/>
    <col min="13581" max="13581" width="0" hidden="1" customWidth="1"/>
    <col min="13582" max="13582" width="11.42578125" customWidth="1"/>
    <col min="13583" max="13583" width="2.5703125" customWidth="1"/>
    <col min="13584" max="13584" width="6.28515625" bestFit="1" customWidth="1"/>
    <col min="13585" max="13585" width="13.42578125" bestFit="1" customWidth="1"/>
    <col min="13586" max="13586" width="12.28515625" bestFit="1" customWidth="1"/>
    <col min="13587" max="13587" width="8" bestFit="1" customWidth="1"/>
    <col min="13588" max="13589" width="10" bestFit="1" customWidth="1"/>
    <col min="13590" max="13590" width="6" bestFit="1" customWidth="1"/>
    <col min="13591" max="13824" width="11.42578125" customWidth="1"/>
    <col min="13825" max="13825" width="5.42578125" customWidth="1"/>
    <col min="13826" max="13826" width="9.5703125" bestFit="1" customWidth="1"/>
    <col min="13827" max="13827" width="5.28515625" bestFit="1" customWidth="1"/>
    <col min="13828" max="13828" width="45.85546875" customWidth="1"/>
    <col min="13829" max="13829" width="20.85546875" customWidth="1"/>
    <col min="13830" max="13830" width="9.42578125" bestFit="1" customWidth="1"/>
    <col min="13831" max="13831" width="13" bestFit="1" customWidth="1"/>
    <col min="13832" max="13832" width="8.140625" customWidth="1"/>
    <col min="13833" max="13833" width="14.140625" customWidth="1"/>
    <col min="13834" max="13834" width="3.140625" customWidth="1"/>
    <col min="13835" max="13835" width="14.42578125" customWidth="1"/>
    <col min="13836" max="13836" width="11.85546875" bestFit="1" customWidth="1"/>
    <col min="13837" max="13837" width="0" hidden="1" customWidth="1"/>
    <col min="13838" max="13838" width="11.42578125" customWidth="1"/>
    <col min="13839" max="13839" width="2.5703125" customWidth="1"/>
    <col min="13840" max="13840" width="6.28515625" bestFit="1" customWidth="1"/>
    <col min="13841" max="13841" width="13.42578125" bestFit="1" customWidth="1"/>
    <col min="13842" max="13842" width="12.28515625" bestFit="1" customWidth="1"/>
    <col min="13843" max="13843" width="8" bestFit="1" customWidth="1"/>
    <col min="13844" max="13845" width="10" bestFit="1" customWidth="1"/>
    <col min="13846" max="13846" width="6" bestFit="1" customWidth="1"/>
    <col min="13847" max="14080" width="11.42578125" customWidth="1"/>
    <col min="14081" max="14081" width="5.42578125" customWidth="1"/>
    <col min="14082" max="14082" width="9.5703125" bestFit="1" customWidth="1"/>
    <col min="14083" max="14083" width="5.28515625" bestFit="1" customWidth="1"/>
    <col min="14084" max="14084" width="45.85546875" customWidth="1"/>
    <col min="14085" max="14085" width="20.85546875" customWidth="1"/>
    <col min="14086" max="14086" width="9.42578125" bestFit="1" customWidth="1"/>
    <col min="14087" max="14087" width="13" bestFit="1" customWidth="1"/>
    <col min="14088" max="14088" width="8.140625" customWidth="1"/>
    <col min="14089" max="14089" width="14.140625" customWidth="1"/>
    <col min="14090" max="14090" width="3.140625" customWidth="1"/>
    <col min="14091" max="14091" width="14.42578125" customWidth="1"/>
    <col min="14092" max="14092" width="11.85546875" bestFit="1" customWidth="1"/>
    <col min="14093" max="14093" width="0" hidden="1" customWidth="1"/>
    <col min="14094" max="14094" width="11.42578125" customWidth="1"/>
    <col min="14095" max="14095" width="2.5703125" customWidth="1"/>
    <col min="14096" max="14096" width="6.28515625" bestFit="1" customWidth="1"/>
    <col min="14097" max="14097" width="13.42578125" bestFit="1" customWidth="1"/>
    <col min="14098" max="14098" width="12.28515625" bestFit="1" customWidth="1"/>
    <col min="14099" max="14099" width="8" bestFit="1" customWidth="1"/>
    <col min="14100" max="14101" width="10" bestFit="1" customWidth="1"/>
    <col min="14102" max="14102" width="6" bestFit="1" customWidth="1"/>
    <col min="14103" max="14336" width="11.42578125" customWidth="1"/>
    <col min="14337" max="14337" width="5.42578125" customWidth="1"/>
    <col min="14338" max="14338" width="9.5703125" bestFit="1" customWidth="1"/>
    <col min="14339" max="14339" width="5.28515625" bestFit="1" customWidth="1"/>
    <col min="14340" max="14340" width="45.85546875" customWidth="1"/>
    <col min="14341" max="14341" width="20.85546875" customWidth="1"/>
    <col min="14342" max="14342" width="9.42578125" bestFit="1" customWidth="1"/>
    <col min="14343" max="14343" width="13" bestFit="1" customWidth="1"/>
    <col min="14344" max="14344" width="8.140625" customWidth="1"/>
    <col min="14345" max="14345" width="14.140625" customWidth="1"/>
    <col min="14346" max="14346" width="3.140625" customWidth="1"/>
    <col min="14347" max="14347" width="14.42578125" customWidth="1"/>
    <col min="14348" max="14348" width="11.85546875" bestFit="1" customWidth="1"/>
    <col min="14349" max="14349" width="0" hidden="1" customWidth="1"/>
    <col min="14350" max="14350" width="11.42578125" customWidth="1"/>
    <col min="14351" max="14351" width="2.5703125" customWidth="1"/>
    <col min="14352" max="14352" width="6.28515625" bestFit="1" customWidth="1"/>
    <col min="14353" max="14353" width="13.42578125" bestFit="1" customWidth="1"/>
    <col min="14354" max="14354" width="12.28515625" bestFit="1" customWidth="1"/>
    <col min="14355" max="14355" width="8" bestFit="1" customWidth="1"/>
    <col min="14356" max="14357" width="10" bestFit="1" customWidth="1"/>
    <col min="14358" max="14358" width="6" bestFit="1" customWidth="1"/>
    <col min="14359" max="14592" width="11.42578125" customWidth="1"/>
    <col min="14593" max="14593" width="5.42578125" customWidth="1"/>
    <col min="14594" max="14594" width="9.5703125" bestFit="1" customWidth="1"/>
    <col min="14595" max="14595" width="5.28515625" bestFit="1" customWidth="1"/>
    <col min="14596" max="14596" width="45.85546875" customWidth="1"/>
    <col min="14597" max="14597" width="20.85546875" customWidth="1"/>
    <col min="14598" max="14598" width="9.42578125" bestFit="1" customWidth="1"/>
    <col min="14599" max="14599" width="13" bestFit="1" customWidth="1"/>
    <col min="14600" max="14600" width="8.140625" customWidth="1"/>
    <col min="14601" max="14601" width="14.140625" customWidth="1"/>
    <col min="14602" max="14602" width="3.140625" customWidth="1"/>
    <col min="14603" max="14603" width="14.42578125" customWidth="1"/>
    <col min="14604" max="14604" width="11.85546875" bestFit="1" customWidth="1"/>
    <col min="14605" max="14605" width="0" hidden="1" customWidth="1"/>
    <col min="14606" max="14606" width="11.42578125" customWidth="1"/>
    <col min="14607" max="14607" width="2.5703125" customWidth="1"/>
    <col min="14608" max="14608" width="6.28515625" bestFit="1" customWidth="1"/>
    <col min="14609" max="14609" width="13.42578125" bestFit="1" customWidth="1"/>
    <col min="14610" max="14610" width="12.28515625" bestFit="1" customWidth="1"/>
    <col min="14611" max="14611" width="8" bestFit="1" customWidth="1"/>
    <col min="14612" max="14613" width="10" bestFit="1" customWidth="1"/>
    <col min="14614" max="14614" width="6" bestFit="1" customWidth="1"/>
    <col min="14615" max="14848" width="11.42578125" customWidth="1"/>
    <col min="14849" max="14849" width="5.42578125" customWidth="1"/>
    <col min="14850" max="14850" width="9.5703125" bestFit="1" customWidth="1"/>
    <col min="14851" max="14851" width="5.28515625" bestFit="1" customWidth="1"/>
    <col min="14852" max="14852" width="45.85546875" customWidth="1"/>
    <col min="14853" max="14853" width="20.85546875" customWidth="1"/>
    <col min="14854" max="14854" width="9.42578125" bestFit="1" customWidth="1"/>
    <col min="14855" max="14855" width="13" bestFit="1" customWidth="1"/>
    <col min="14856" max="14856" width="8.140625" customWidth="1"/>
    <col min="14857" max="14857" width="14.140625" customWidth="1"/>
    <col min="14858" max="14858" width="3.140625" customWidth="1"/>
    <col min="14859" max="14859" width="14.42578125" customWidth="1"/>
    <col min="14860" max="14860" width="11.85546875" bestFit="1" customWidth="1"/>
    <col min="14861" max="14861" width="0" hidden="1" customWidth="1"/>
    <col min="14862" max="14862" width="11.42578125" customWidth="1"/>
    <col min="14863" max="14863" width="2.5703125" customWidth="1"/>
    <col min="14864" max="14864" width="6.28515625" bestFit="1" customWidth="1"/>
    <col min="14865" max="14865" width="13.42578125" bestFit="1" customWidth="1"/>
    <col min="14866" max="14866" width="12.28515625" bestFit="1" customWidth="1"/>
    <col min="14867" max="14867" width="8" bestFit="1" customWidth="1"/>
    <col min="14868" max="14869" width="10" bestFit="1" customWidth="1"/>
    <col min="14870" max="14870" width="6" bestFit="1" customWidth="1"/>
    <col min="14871" max="15104" width="11.42578125" customWidth="1"/>
    <col min="15105" max="15105" width="5.42578125" customWidth="1"/>
    <col min="15106" max="15106" width="9.5703125" bestFit="1" customWidth="1"/>
    <col min="15107" max="15107" width="5.28515625" bestFit="1" customWidth="1"/>
    <col min="15108" max="15108" width="45.85546875" customWidth="1"/>
    <col min="15109" max="15109" width="20.85546875" customWidth="1"/>
    <col min="15110" max="15110" width="9.42578125" bestFit="1" customWidth="1"/>
    <col min="15111" max="15111" width="13" bestFit="1" customWidth="1"/>
    <col min="15112" max="15112" width="8.140625" customWidth="1"/>
    <col min="15113" max="15113" width="14.140625" customWidth="1"/>
    <col min="15114" max="15114" width="3.140625" customWidth="1"/>
    <col min="15115" max="15115" width="14.42578125" customWidth="1"/>
    <col min="15116" max="15116" width="11.85546875" bestFit="1" customWidth="1"/>
    <col min="15117" max="15117" width="0" hidden="1" customWidth="1"/>
    <col min="15118" max="15118" width="11.42578125" customWidth="1"/>
    <col min="15119" max="15119" width="2.5703125" customWidth="1"/>
    <col min="15120" max="15120" width="6.28515625" bestFit="1" customWidth="1"/>
    <col min="15121" max="15121" width="13.42578125" bestFit="1" customWidth="1"/>
    <col min="15122" max="15122" width="12.28515625" bestFit="1" customWidth="1"/>
    <col min="15123" max="15123" width="8" bestFit="1" customWidth="1"/>
    <col min="15124" max="15125" width="10" bestFit="1" customWidth="1"/>
    <col min="15126" max="15126" width="6" bestFit="1" customWidth="1"/>
    <col min="15127" max="15360" width="11.42578125" customWidth="1"/>
    <col min="15361" max="15361" width="5.42578125" customWidth="1"/>
    <col min="15362" max="15362" width="9.5703125" bestFit="1" customWidth="1"/>
    <col min="15363" max="15363" width="5.28515625" bestFit="1" customWidth="1"/>
    <col min="15364" max="15364" width="45.85546875" customWidth="1"/>
    <col min="15365" max="15365" width="20.85546875" customWidth="1"/>
    <col min="15366" max="15366" width="9.42578125" bestFit="1" customWidth="1"/>
    <col min="15367" max="15367" width="13" bestFit="1" customWidth="1"/>
    <col min="15368" max="15368" width="8.140625" customWidth="1"/>
    <col min="15369" max="15369" width="14.140625" customWidth="1"/>
    <col min="15370" max="15370" width="3.140625" customWidth="1"/>
    <col min="15371" max="15371" width="14.42578125" customWidth="1"/>
    <col min="15372" max="15372" width="11.85546875" bestFit="1" customWidth="1"/>
    <col min="15373" max="15373" width="0" hidden="1" customWidth="1"/>
    <col min="15374" max="15374" width="11.42578125" customWidth="1"/>
    <col min="15375" max="15375" width="2.5703125" customWidth="1"/>
    <col min="15376" max="15376" width="6.28515625" bestFit="1" customWidth="1"/>
    <col min="15377" max="15377" width="13.42578125" bestFit="1" customWidth="1"/>
    <col min="15378" max="15378" width="12.28515625" bestFit="1" customWidth="1"/>
    <col min="15379" max="15379" width="8" bestFit="1" customWidth="1"/>
    <col min="15380" max="15381" width="10" bestFit="1" customWidth="1"/>
    <col min="15382" max="15382" width="6" bestFit="1" customWidth="1"/>
    <col min="15383" max="15616" width="11.42578125" customWidth="1"/>
    <col min="15617" max="15617" width="5.42578125" customWidth="1"/>
    <col min="15618" max="15618" width="9.5703125" bestFit="1" customWidth="1"/>
    <col min="15619" max="15619" width="5.28515625" bestFit="1" customWidth="1"/>
    <col min="15620" max="15620" width="45.85546875" customWidth="1"/>
    <col min="15621" max="15621" width="20.85546875" customWidth="1"/>
    <col min="15622" max="15622" width="9.42578125" bestFit="1" customWidth="1"/>
    <col min="15623" max="15623" width="13" bestFit="1" customWidth="1"/>
    <col min="15624" max="15624" width="8.140625" customWidth="1"/>
    <col min="15625" max="15625" width="14.140625" customWidth="1"/>
    <col min="15626" max="15626" width="3.140625" customWidth="1"/>
    <col min="15627" max="15627" width="14.42578125" customWidth="1"/>
    <col min="15628" max="15628" width="11.85546875" bestFit="1" customWidth="1"/>
    <col min="15629" max="15629" width="0" hidden="1" customWidth="1"/>
    <col min="15630" max="15630" width="11.42578125" customWidth="1"/>
    <col min="15631" max="15631" width="2.5703125" customWidth="1"/>
    <col min="15632" max="15632" width="6.28515625" bestFit="1" customWidth="1"/>
    <col min="15633" max="15633" width="13.42578125" bestFit="1" customWidth="1"/>
    <col min="15634" max="15634" width="12.28515625" bestFit="1" customWidth="1"/>
    <col min="15635" max="15635" width="8" bestFit="1" customWidth="1"/>
    <col min="15636" max="15637" width="10" bestFit="1" customWidth="1"/>
    <col min="15638" max="15638" width="6" bestFit="1" customWidth="1"/>
    <col min="15639" max="15872" width="11.42578125" customWidth="1"/>
    <col min="15873" max="15873" width="5.42578125" customWidth="1"/>
    <col min="15874" max="15874" width="9.5703125" bestFit="1" customWidth="1"/>
    <col min="15875" max="15875" width="5.28515625" bestFit="1" customWidth="1"/>
    <col min="15876" max="15876" width="45.85546875" customWidth="1"/>
    <col min="15877" max="15877" width="20.85546875" customWidth="1"/>
    <col min="15878" max="15878" width="9.42578125" bestFit="1" customWidth="1"/>
    <col min="15879" max="15879" width="13" bestFit="1" customWidth="1"/>
    <col min="15880" max="15880" width="8.140625" customWidth="1"/>
    <col min="15881" max="15881" width="14.140625" customWidth="1"/>
    <col min="15882" max="15882" width="3.140625" customWidth="1"/>
    <col min="15883" max="15883" width="14.42578125" customWidth="1"/>
    <col min="15884" max="15884" width="11.85546875" bestFit="1" customWidth="1"/>
    <col min="15885" max="15885" width="0" hidden="1" customWidth="1"/>
    <col min="15886" max="15886" width="11.42578125" customWidth="1"/>
    <col min="15887" max="15887" width="2.5703125" customWidth="1"/>
    <col min="15888" max="15888" width="6.28515625" bestFit="1" customWidth="1"/>
    <col min="15889" max="15889" width="13.42578125" bestFit="1" customWidth="1"/>
    <col min="15890" max="15890" width="12.28515625" bestFit="1" customWidth="1"/>
    <col min="15891" max="15891" width="8" bestFit="1" customWidth="1"/>
    <col min="15892" max="15893" width="10" bestFit="1" customWidth="1"/>
    <col min="15894" max="15894" width="6" bestFit="1" customWidth="1"/>
    <col min="15895" max="16128" width="11.42578125" customWidth="1"/>
    <col min="16129" max="16129" width="5.42578125" customWidth="1"/>
    <col min="16130" max="16130" width="9.5703125" bestFit="1" customWidth="1"/>
    <col min="16131" max="16131" width="5.28515625" bestFit="1" customWidth="1"/>
    <col min="16132" max="16132" width="45.85546875" customWidth="1"/>
    <col min="16133" max="16133" width="20.85546875" customWidth="1"/>
    <col min="16134" max="16134" width="9.42578125" bestFit="1" customWidth="1"/>
    <col min="16135" max="16135" width="13" bestFit="1" customWidth="1"/>
    <col min="16136" max="16136" width="8.140625" customWidth="1"/>
    <col min="16137" max="16137" width="14.140625" customWidth="1"/>
    <col min="16138" max="16138" width="3.140625" customWidth="1"/>
    <col min="16139" max="16139" width="14.42578125" customWidth="1"/>
    <col min="16140" max="16140" width="11.85546875" bestFit="1" customWidth="1"/>
    <col min="16141" max="16141" width="0" hidden="1" customWidth="1"/>
    <col min="16142" max="16142" width="11.42578125" customWidth="1"/>
    <col min="16143" max="16143" width="2.5703125" customWidth="1"/>
    <col min="16144" max="16144" width="6.28515625" bestFit="1" customWidth="1"/>
    <col min="16145" max="16145" width="13.42578125" bestFit="1" customWidth="1"/>
    <col min="16146" max="16146" width="12.28515625" bestFit="1" customWidth="1"/>
    <col min="16147" max="16147" width="8" bestFit="1" customWidth="1"/>
    <col min="16148" max="16149" width="10" bestFit="1" customWidth="1"/>
    <col min="16150" max="16150" width="6" bestFit="1" customWidth="1"/>
    <col min="16151" max="16384" width="11.42578125" customWidth="1"/>
  </cols>
  <sheetData>
    <row r="1" spans="1:15" ht="8.25" customHeight="1" x14ac:dyDescent="0.25"/>
    <row r="3" spans="1:15" ht="19.5" customHeight="1" x14ac:dyDescent="0.25">
      <c r="D3" s="6" t="s">
        <v>0</v>
      </c>
    </row>
    <row r="4" spans="1:15" ht="14.25" customHeight="1" x14ac:dyDescent="0.25">
      <c r="D4" s="3" t="s">
        <v>1</v>
      </c>
    </row>
    <row r="5" spans="1:15" ht="14.25" customHeight="1" x14ac:dyDescent="0.25">
      <c r="D5" s="3" t="s">
        <v>2</v>
      </c>
    </row>
    <row r="7" spans="1:15" ht="12" customHeight="1" x14ac:dyDescent="0.25">
      <c r="A7" s="7" t="s">
        <v>3</v>
      </c>
      <c r="B7" s="8" t="s">
        <v>4</v>
      </c>
      <c r="C7" s="9" t="s">
        <v>5</v>
      </c>
      <c r="D7" s="10" t="s">
        <v>6</v>
      </c>
      <c r="E7" s="11" t="s">
        <v>7</v>
      </c>
      <c r="F7" s="10" t="s">
        <v>8</v>
      </c>
      <c r="G7" s="12" t="s">
        <v>9</v>
      </c>
      <c r="H7" s="12" t="s">
        <v>10</v>
      </c>
      <c r="I7" s="12" t="s">
        <v>11</v>
      </c>
      <c r="K7" s="13" t="s">
        <v>12</v>
      </c>
      <c r="L7" s="14" t="s">
        <v>13</v>
      </c>
      <c r="N7" s="10" t="s">
        <v>14</v>
      </c>
    </row>
    <row r="8" spans="1:15" ht="12.75" customHeight="1" x14ac:dyDescent="0.25">
      <c r="A8" s="15">
        <v>1</v>
      </c>
      <c r="B8" s="16">
        <v>45755</v>
      </c>
      <c r="C8" s="17" t="s">
        <v>15</v>
      </c>
      <c r="D8" s="18"/>
      <c r="E8" s="18"/>
      <c r="F8" s="19"/>
      <c r="G8" s="20"/>
      <c r="H8" s="21"/>
      <c r="I8" s="21">
        <f t="shared" ref="I8:I14" si="0">+G8*H8</f>
        <v>0</v>
      </c>
      <c r="K8" s="22"/>
      <c r="L8" s="22"/>
      <c r="M8" s="23"/>
      <c r="N8" s="24"/>
      <c r="O8" s="25"/>
    </row>
    <row r="9" spans="1:15" ht="11.25" customHeight="1" x14ac:dyDescent="0.25">
      <c r="A9" s="15">
        <v>2</v>
      </c>
      <c r="B9" s="16">
        <v>45756</v>
      </c>
      <c r="C9" s="17"/>
      <c r="D9" s="26"/>
      <c r="E9" s="26"/>
      <c r="F9" s="26"/>
      <c r="G9" s="27"/>
      <c r="H9" s="28"/>
      <c r="I9" s="29">
        <f t="shared" si="0"/>
        <v>0</v>
      </c>
      <c r="K9" s="30"/>
      <c r="L9" s="31"/>
      <c r="M9" s="32"/>
      <c r="N9" s="33"/>
    </row>
    <row r="10" spans="1:15" ht="11.25" customHeight="1" x14ac:dyDescent="0.25">
      <c r="A10" s="15">
        <v>3</v>
      </c>
      <c r="B10" s="16">
        <v>45757</v>
      </c>
      <c r="C10" s="17"/>
      <c r="D10" s="34"/>
      <c r="E10" s="34"/>
      <c r="F10" s="34"/>
      <c r="G10" s="35"/>
      <c r="H10" s="36"/>
      <c r="I10" s="29">
        <f t="shared" si="0"/>
        <v>0</v>
      </c>
      <c r="K10" s="37"/>
      <c r="L10" s="15"/>
      <c r="M10" s="32"/>
      <c r="N10" s="38"/>
    </row>
    <row r="11" spans="1:15" ht="11.25" customHeight="1" x14ac:dyDescent="0.25">
      <c r="A11" s="15">
        <v>4</v>
      </c>
      <c r="B11" s="16">
        <v>45758</v>
      </c>
      <c r="C11" s="17"/>
      <c r="D11" s="34"/>
      <c r="E11" s="34"/>
      <c r="F11" s="34"/>
      <c r="G11" s="35"/>
      <c r="H11" s="36"/>
      <c r="I11" s="29">
        <f t="shared" si="0"/>
        <v>0</v>
      </c>
      <c r="K11" s="37"/>
      <c r="L11" s="15"/>
      <c r="M11" s="32"/>
      <c r="N11" s="38"/>
    </row>
    <row r="12" spans="1:15" ht="11.25" customHeight="1" x14ac:dyDescent="0.25">
      <c r="A12" s="15">
        <v>5</v>
      </c>
      <c r="B12" s="16">
        <v>45759</v>
      </c>
      <c r="C12" s="17"/>
      <c r="D12" s="34"/>
      <c r="E12" s="34"/>
      <c r="F12" s="34"/>
      <c r="G12" s="35"/>
      <c r="H12" s="36"/>
      <c r="I12" s="29">
        <f t="shared" si="0"/>
        <v>0</v>
      </c>
      <c r="K12" s="37"/>
      <c r="L12" s="15"/>
      <c r="M12" s="32"/>
      <c r="N12" s="38"/>
    </row>
    <row r="13" spans="1:15" ht="11.25" customHeight="1" x14ac:dyDescent="0.25">
      <c r="A13" s="15">
        <v>6</v>
      </c>
      <c r="B13" s="16">
        <v>45760</v>
      </c>
      <c r="C13" s="17"/>
      <c r="D13" s="38"/>
      <c r="E13" s="38"/>
      <c r="F13" s="38"/>
      <c r="G13" s="39"/>
      <c r="H13" s="40"/>
      <c r="I13" s="29">
        <f t="shared" si="0"/>
        <v>0</v>
      </c>
      <c r="K13" s="37"/>
      <c r="L13" s="15"/>
      <c r="M13" s="32"/>
      <c r="N13" s="38"/>
    </row>
    <row r="14" spans="1:15" ht="11.25" customHeight="1" x14ac:dyDescent="0.25">
      <c r="A14" s="41">
        <v>7</v>
      </c>
      <c r="B14" s="16">
        <v>45761</v>
      </c>
      <c r="C14" s="42"/>
      <c r="D14" s="43"/>
      <c r="E14" s="43"/>
      <c r="F14" s="43"/>
      <c r="G14" s="44"/>
      <c r="H14" s="45"/>
      <c r="I14" s="29">
        <f t="shared" si="0"/>
        <v>0</v>
      </c>
      <c r="K14" s="46"/>
      <c r="L14" s="47"/>
      <c r="M14" s="32"/>
      <c r="N14" s="43"/>
    </row>
    <row r="15" spans="1:15" ht="11.25" customHeight="1" x14ac:dyDescent="0.25">
      <c r="A15" s="48" t="s">
        <v>16</v>
      </c>
      <c r="B15" s="49"/>
      <c r="C15" s="49"/>
      <c r="D15" s="50"/>
      <c r="E15" s="50"/>
      <c r="F15" s="51"/>
      <c r="G15" s="52">
        <f>+SUM(G8:G14)</f>
        <v>0</v>
      </c>
      <c r="H15" s="53"/>
      <c r="I15" s="54">
        <f>SUM(I8:I14)</f>
        <v>0</v>
      </c>
      <c r="K15" s="11">
        <f>SUM(K8:K14)</f>
        <v>0</v>
      </c>
      <c r="L15" s="55">
        <f>SUM(L8:L14)</f>
        <v>0</v>
      </c>
      <c r="M15" s="56"/>
      <c r="N15" s="11"/>
    </row>
    <row r="16" spans="1:15" ht="12" customHeight="1" x14ac:dyDescent="0.25">
      <c r="A16" s="57" t="s">
        <v>17</v>
      </c>
      <c r="B16" s="58"/>
      <c r="C16" s="58"/>
      <c r="D16" s="59"/>
      <c r="E16" s="59"/>
      <c r="F16" s="60"/>
      <c r="G16" s="61">
        <f>+G15</f>
        <v>0</v>
      </c>
      <c r="H16" s="62"/>
      <c r="I16" s="63">
        <f>+I15</f>
        <v>0</v>
      </c>
      <c r="K16" s="64">
        <f>+K15</f>
        <v>0</v>
      </c>
      <c r="L16" s="65">
        <f>+L15</f>
        <v>0</v>
      </c>
      <c r="M16" s="56"/>
      <c r="N16" s="66"/>
    </row>
    <row r="17" spans="1:20" ht="11.25" customHeight="1" x14ac:dyDescent="0.25">
      <c r="B17"/>
      <c r="D17" s="51"/>
      <c r="E17" s="51"/>
      <c r="F17" s="51"/>
      <c r="G17" s="67"/>
      <c r="H17" s="53"/>
      <c r="I17" s="53"/>
      <c r="K17" s="68"/>
      <c r="L17" s="32"/>
      <c r="M17" s="32"/>
      <c r="N17" s="51"/>
    </row>
    <row r="18" spans="1:20" ht="11.25" customHeight="1" x14ac:dyDescent="0.25">
      <c r="A18" s="69">
        <v>8</v>
      </c>
      <c r="B18" s="16">
        <v>45762</v>
      </c>
      <c r="C18" s="70" t="s">
        <v>18</v>
      </c>
      <c r="D18" s="34"/>
      <c r="E18" s="26"/>
      <c r="F18" s="26"/>
      <c r="G18" s="71"/>
      <c r="H18" s="29"/>
      <c r="I18" s="29">
        <f>+G18*H18</f>
        <v>0</v>
      </c>
      <c r="K18" s="72"/>
      <c r="L18" s="73"/>
      <c r="M18" s="74"/>
      <c r="N18" s="26"/>
    </row>
    <row r="19" spans="1:20" ht="11.25" customHeight="1" x14ac:dyDescent="0.25">
      <c r="A19" s="15">
        <v>9</v>
      </c>
      <c r="B19" s="16">
        <v>45763</v>
      </c>
      <c r="C19" s="17"/>
      <c r="D19" s="34"/>
      <c r="E19" s="34"/>
      <c r="F19" s="34"/>
      <c r="G19" s="35"/>
      <c r="H19" s="36"/>
      <c r="I19" s="29">
        <f t="shared" ref="I19:I24" si="1">+G19*H19</f>
        <v>0</v>
      </c>
      <c r="K19" s="72"/>
      <c r="L19" s="75"/>
      <c r="M19" s="74"/>
      <c r="N19" s="34"/>
      <c r="T19" s="76"/>
    </row>
    <row r="20" spans="1:20" ht="11.25" customHeight="1" x14ac:dyDescent="0.25">
      <c r="A20" s="15">
        <v>10</v>
      </c>
      <c r="B20" s="16">
        <v>45764</v>
      </c>
      <c r="C20" s="17"/>
      <c r="D20" s="38"/>
      <c r="E20" s="34"/>
      <c r="F20" s="38"/>
      <c r="G20" s="39"/>
      <c r="H20" s="40"/>
      <c r="I20" s="29">
        <f t="shared" si="1"/>
        <v>0</v>
      </c>
      <c r="K20" s="72"/>
      <c r="L20" s="75"/>
      <c r="M20" s="74"/>
      <c r="N20" s="34"/>
    </row>
    <row r="21" spans="1:20" ht="11.25" customHeight="1" x14ac:dyDescent="0.25">
      <c r="A21" s="15">
        <v>11</v>
      </c>
      <c r="B21" s="16">
        <v>45765</v>
      </c>
      <c r="C21" s="17"/>
      <c r="D21" s="38"/>
      <c r="E21" s="38"/>
      <c r="F21" s="38"/>
      <c r="G21" s="39"/>
      <c r="H21" s="40"/>
      <c r="I21" s="29">
        <f t="shared" si="1"/>
        <v>0</v>
      </c>
      <c r="K21" s="72"/>
      <c r="L21" s="15"/>
      <c r="M21" s="32"/>
      <c r="N21" s="38"/>
    </row>
    <row r="22" spans="1:20" ht="11.25" customHeight="1" x14ac:dyDescent="0.25">
      <c r="A22" s="15">
        <v>12</v>
      </c>
      <c r="B22" s="16">
        <v>45766</v>
      </c>
      <c r="C22" s="17"/>
      <c r="D22" s="38"/>
      <c r="E22" s="38"/>
      <c r="F22" s="38"/>
      <c r="G22" s="39"/>
      <c r="H22" s="40"/>
      <c r="I22" s="29">
        <f t="shared" si="1"/>
        <v>0</v>
      </c>
      <c r="K22" s="72"/>
      <c r="L22" s="15"/>
      <c r="M22" s="32"/>
      <c r="N22" s="38"/>
    </row>
    <row r="23" spans="1:20" ht="11.25" customHeight="1" x14ac:dyDescent="0.25">
      <c r="A23" s="15">
        <v>13</v>
      </c>
      <c r="B23" s="16">
        <v>45767</v>
      </c>
      <c r="C23" s="17"/>
      <c r="D23" s="38"/>
      <c r="E23" s="38"/>
      <c r="F23" s="38"/>
      <c r="G23" s="39"/>
      <c r="H23" s="40"/>
      <c r="I23" s="29">
        <f t="shared" si="1"/>
        <v>0</v>
      </c>
      <c r="K23" s="72"/>
      <c r="L23" s="15"/>
      <c r="M23" s="32"/>
      <c r="N23" s="38"/>
    </row>
    <row r="24" spans="1:20" ht="11.25" customHeight="1" x14ac:dyDescent="0.25">
      <c r="A24" s="41">
        <v>14</v>
      </c>
      <c r="B24" s="16">
        <v>45768</v>
      </c>
      <c r="C24" s="42"/>
      <c r="D24" s="43"/>
      <c r="E24" s="43"/>
      <c r="F24" s="43"/>
      <c r="G24" s="44"/>
      <c r="H24" s="77"/>
      <c r="I24" s="29">
        <f t="shared" si="1"/>
        <v>0</v>
      </c>
      <c r="K24" s="72"/>
      <c r="L24" s="47"/>
      <c r="M24" s="32"/>
      <c r="N24" s="43"/>
    </row>
    <row r="25" spans="1:20" ht="11.25" customHeight="1" x14ac:dyDescent="0.25">
      <c r="A25" s="48" t="s">
        <v>19</v>
      </c>
      <c r="B25" s="49"/>
      <c r="C25" s="49"/>
      <c r="D25" s="51"/>
      <c r="E25" s="51"/>
      <c r="F25" s="51"/>
      <c r="G25" s="52">
        <f>SUM(G18:G24)</f>
        <v>0</v>
      </c>
      <c r="H25" s="53"/>
      <c r="I25" s="54">
        <f>SUM(I18:I24)</f>
        <v>0</v>
      </c>
      <c r="K25" s="11">
        <f>+SUM(K18:K24)</f>
        <v>0</v>
      </c>
      <c r="L25" s="55">
        <f>+SUM(L18:L24)</f>
        <v>0</v>
      </c>
      <c r="M25" s="56"/>
      <c r="N25" s="11"/>
      <c r="Q25" s="76"/>
    </row>
    <row r="26" spans="1:20" ht="12" customHeight="1" x14ac:dyDescent="0.25">
      <c r="A26" s="57" t="s">
        <v>17</v>
      </c>
      <c r="B26" s="58"/>
      <c r="C26" s="58"/>
      <c r="D26" s="59"/>
      <c r="E26" s="59"/>
      <c r="F26" s="59"/>
      <c r="G26" s="61">
        <f>+G16+G25</f>
        <v>0</v>
      </c>
      <c r="H26" s="62"/>
      <c r="I26" s="63">
        <f>+I16+I25</f>
        <v>0</v>
      </c>
      <c r="J26" s="17"/>
      <c r="K26" s="64">
        <f>+K16+K25</f>
        <v>0</v>
      </c>
      <c r="L26" s="65">
        <f>+L16+L25</f>
        <v>0</v>
      </c>
      <c r="M26" s="56"/>
      <c r="N26" s="64"/>
    </row>
    <row r="27" spans="1:20" ht="13.5" customHeight="1" x14ac:dyDescent="0.25">
      <c r="B27"/>
      <c r="D27" s="78"/>
      <c r="E27" s="78"/>
      <c r="F27" s="78"/>
      <c r="G27" s="79"/>
      <c r="H27" s="80"/>
      <c r="I27" s="53"/>
      <c r="J27" s="17"/>
      <c r="K27" s="32"/>
      <c r="L27" s="32"/>
      <c r="M27" s="32"/>
      <c r="N27" s="78"/>
    </row>
    <row r="28" spans="1:20" ht="11.25" customHeight="1" x14ac:dyDescent="0.25">
      <c r="A28" s="69">
        <v>15</v>
      </c>
      <c r="B28" s="16">
        <v>45769</v>
      </c>
      <c r="C28" s="70" t="s">
        <v>20</v>
      </c>
      <c r="D28" s="24"/>
      <c r="E28" s="24"/>
      <c r="F28" s="24"/>
      <c r="G28" s="81"/>
      <c r="H28" s="82"/>
      <c r="I28" s="83">
        <f t="shared" ref="I28:I34" si="2">+H28*G28</f>
        <v>0</v>
      </c>
      <c r="J28" s="17"/>
      <c r="K28" s="69"/>
      <c r="L28" s="69"/>
      <c r="M28" s="32"/>
      <c r="N28" s="24"/>
    </row>
    <row r="29" spans="1:20" ht="11.25" customHeight="1" x14ac:dyDescent="0.25">
      <c r="A29" s="15">
        <v>16</v>
      </c>
      <c r="B29" s="16">
        <v>45770</v>
      </c>
      <c r="C29" s="17"/>
      <c r="D29" s="38"/>
      <c r="E29" s="38"/>
      <c r="F29" s="38"/>
      <c r="G29" s="39"/>
      <c r="H29" s="84"/>
      <c r="I29" s="83">
        <f t="shared" si="2"/>
        <v>0</v>
      </c>
      <c r="J29" s="17"/>
      <c r="K29" s="15"/>
      <c r="L29" s="15"/>
      <c r="M29" s="32"/>
      <c r="N29" s="38"/>
    </row>
    <row r="30" spans="1:20" ht="11.25" customHeight="1" x14ac:dyDescent="0.25">
      <c r="A30" s="15">
        <v>17</v>
      </c>
      <c r="B30" s="16">
        <v>45771</v>
      </c>
      <c r="C30" s="17"/>
      <c r="D30" s="38"/>
      <c r="E30" s="38"/>
      <c r="F30" s="38"/>
      <c r="G30" s="39"/>
      <c r="H30" s="40"/>
      <c r="I30" s="83">
        <f t="shared" si="2"/>
        <v>0</v>
      </c>
      <c r="J30" s="17"/>
      <c r="K30" s="15"/>
      <c r="L30" s="15"/>
      <c r="M30" s="32"/>
      <c r="N30" s="38"/>
    </row>
    <row r="31" spans="1:20" ht="11.25" customHeight="1" x14ac:dyDescent="0.25">
      <c r="A31" s="15">
        <v>18</v>
      </c>
      <c r="B31" s="16">
        <v>45772</v>
      </c>
      <c r="C31" s="85"/>
      <c r="D31" s="34"/>
      <c r="E31" s="38"/>
      <c r="F31" s="26"/>
      <c r="G31" s="71"/>
      <c r="H31" s="86"/>
      <c r="I31" s="83">
        <f t="shared" si="2"/>
        <v>0</v>
      </c>
      <c r="J31" s="17"/>
      <c r="K31" s="72"/>
      <c r="L31" s="75"/>
      <c r="M31" s="74"/>
      <c r="N31" s="26"/>
    </row>
    <row r="32" spans="1:20" ht="11.25" customHeight="1" x14ac:dyDescent="0.25">
      <c r="A32" s="15">
        <v>19</v>
      </c>
      <c r="B32" s="16">
        <v>45773</v>
      </c>
      <c r="C32" s="85"/>
      <c r="D32" s="38"/>
      <c r="E32" s="38"/>
      <c r="F32" s="38"/>
      <c r="G32" s="39"/>
      <c r="H32" s="84"/>
      <c r="I32" s="83">
        <f>G32*H32</f>
        <v>0</v>
      </c>
      <c r="J32" s="87"/>
      <c r="K32" s="31"/>
      <c r="L32" s="15"/>
      <c r="M32" s="32"/>
      <c r="N32" s="33"/>
    </row>
    <row r="33" spans="1:22" ht="11.25" customHeight="1" x14ac:dyDescent="0.25">
      <c r="A33" s="15">
        <v>20</v>
      </c>
      <c r="B33" s="16">
        <v>45774</v>
      </c>
      <c r="C33" s="85"/>
      <c r="D33" s="33"/>
      <c r="E33" s="38"/>
      <c r="F33" s="33"/>
      <c r="G33" s="88"/>
      <c r="H33" s="83"/>
      <c r="I33" s="83">
        <f t="shared" si="2"/>
        <v>0</v>
      </c>
      <c r="J33" s="87"/>
      <c r="K33" s="31"/>
      <c r="L33" s="15"/>
      <c r="M33" s="32"/>
      <c r="N33" s="33"/>
    </row>
    <row r="34" spans="1:22" ht="11.25" customHeight="1" x14ac:dyDescent="0.25">
      <c r="A34" s="41">
        <v>21</v>
      </c>
      <c r="B34" s="16">
        <v>45775</v>
      </c>
      <c r="C34" s="42"/>
      <c r="D34" s="38"/>
      <c r="E34" s="43"/>
      <c r="F34" s="43"/>
      <c r="G34" s="89"/>
      <c r="H34" s="77"/>
      <c r="I34" s="83">
        <f t="shared" si="2"/>
        <v>0</v>
      </c>
      <c r="J34" s="87"/>
      <c r="K34" s="47"/>
      <c r="L34" s="47"/>
      <c r="M34" s="32"/>
      <c r="N34" s="33"/>
      <c r="P34" s="90"/>
      <c r="S34" s="90"/>
      <c r="T34" s="90"/>
      <c r="U34" s="90"/>
      <c r="V34" s="90"/>
    </row>
    <row r="35" spans="1:22" ht="11.25" customHeight="1" x14ac:dyDescent="0.25">
      <c r="A35" s="48" t="s">
        <v>21</v>
      </c>
      <c r="B35" s="49"/>
      <c r="C35" s="49"/>
      <c r="D35" s="51"/>
      <c r="E35" s="51"/>
      <c r="F35" s="51"/>
      <c r="G35" s="52">
        <f>SUM(G28:G34)</f>
        <v>0</v>
      </c>
      <c r="H35" s="53"/>
      <c r="I35" s="54">
        <f>SUM(I28:I34)</f>
        <v>0</v>
      </c>
      <c r="J35" s="87"/>
      <c r="K35" s="11">
        <f>+SUM(K28:K34)</f>
        <v>0</v>
      </c>
      <c r="L35" s="55">
        <f>+SUM(L28:L34)</f>
        <v>0</v>
      </c>
      <c r="M35" s="56"/>
      <c r="N35" s="11"/>
      <c r="P35" s="2"/>
      <c r="S35" s="91"/>
      <c r="T35" s="92"/>
      <c r="V35" s="92"/>
    </row>
    <row r="36" spans="1:22" ht="11.25" customHeight="1" x14ac:dyDescent="0.25">
      <c r="A36" s="57" t="s">
        <v>17</v>
      </c>
      <c r="B36" s="58"/>
      <c r="C36" s="58"/>
      <c r="D36" s="59"/>
      <c r="E36" s="59"/>
      <c r="F36" s="59"/>
      <c r="G36" s="61">
        <f>+G26+G35</f>
        <v>0</v>
      </c>
      <c r="H36" s="62"/>
      <c r="I36" s="63">
        <f>+I26+I35</f>
        <v>0</v>
      </c>
      <c r="J36" s="87"/>
      <c r="K36" s="64">
        <f>+K26+K35</f>
        <v>0</v>
      </c>
      <c r="L36" s="65">
        <f>+L26+L35</f>
        <v>0</v>
      </c>
      <c r="M36" s="56" t="s">
        <v>22</v>
      </c>
      <c r="N36" s="64"/>
    </row>
    <row r="37" spans="1:22" ht="8.25" customHeight="1" x14ac:dyDescent="0.25">
      <c r="B37"/>
      <c r="D37" s="93"/>
      <c r="E37" s="94"/>
      <c r="F37" s="93"/>
      <c r="G37" s="95"/>
      <c r="H37" s="80"/>
      <c r="I37" s="53"/>
      <c r="J37" s="87"/>
      <c r="K37" s="68"/>
      <c r="L37" s="68"/>
      <c r="M37" s="32"/>
      <c r="N37" s="51"/>
    </row>
    <row r="38" spans="1:22" ht="11.25" customHeight="1" x14ac:dyDescent="0.25">
      <c r="A38" s="69">
        <v>22</v>
      </c>
      <c r="B38" s="16">
        <v>45776</v>
      </c>
      <c r="C38" s="70" t="s">
        <v>23</v>
      </c>
      <c r="D38" s="18"/>
      <c r="E38" s="24"/>
      <c r="F38" s="24"/>
      <c r="G38" s="81"/>
      <c r="H38" s="82"/>
      <c r="I38" s="29">
        <f>G38*H38</f>
        <v>0</v>
      </c>
      <c r="J38" s="87"/>
      <c r="K38" s="72"/>
      <c r="L38" s="72"/>
      <c r="M38" s="72"/>
      <c r="N38" s="72"/>
    </row>
    <row r="39" spans="1:22" ht="11.25" customHeight="1" x14ac:dyDescent="0.25">
      <c r="A39" s="15">
        <v>23</v>
      </c>
      <c r="B39" s="16">
        <v>45777</v>
      </c>
      <c r="C39" s="17"/>
      <c r="D39" s="33"/>
      <c r="E39" s="38"/>
      <c r="F39" s="38"/>
      <c r="G39" s="39"/>
      <c r="H39" s="40"/>
      <c r="I39" s="83">
        <f>+H39*G39</f>
        <v>0</v>
      </c>
      <c r="J39" s="87"/>
      <c r="K39" s="31"/>
      <c r="L39" s="69"/>
      <c r="M39" s="32"/>
      <c r="N39" s="24"/>
    </row>
    <row r="40" spans="1:22" ht="11.25" customHeight="1" x14ac:dyDescent="0.25">
      <c r="A40" s="15">
        <v>24</v>
      </c>
      <c r="B40" s="16">
        <v>45778</v>
      </c>
      <c r="C40" s="17"/>
      <c r="D40" s="34"/>
      <c r="E40" s="38"/>
      <c r="F40" s="38"/>
      <c r="G40" s="39"/>
      <c r="H40" s="40"/>
      <c r="I40" s="83">
        <f>+H40*G40</f>
        <v>0</v>
      </c>
      <c r="J40" s="87"/>
      <c r="K40" s="75"/>
      <c r="L40" s="75"/>
      <c r="M40" s="74"/>
      <c r="N40" s="34"/>
    </row>
    <row r="41" spans="1:22" ht="11.25" customHeight="1" x14ac:dyDescent="0.25">
      <c r="A41" s="15">
        <v>25</v>
      </c>
      <c r="B41" s="16">
        <v>45779</v>
      </c>
      <c r="C41" s="17"/>
      <c r="D41" s="38"/>
      <c r="E41" s="38"/>
      <c r="F41" s="34"/>
      <c r="G41" s="35"/>
      <c r="H41" s="96"/>
      <c r="I41" s="29">
        <f>+G41*H41</f>
        <v>0</v>
      </c>
      <c r="J41" s="87"/>
      <c r="K41" s="75"/>
      <c r="L41" s="75"/>
      <c r="M41" s="74"/>
      <c r="N41" s="34"/>
    </row>
    <row r="42" spans="1:22" ht="11.25" customHeight="1" x14ac:dyDescent="0.25">
      <c r="A42" s="15">
        <v>26</v>
      </c>
      <c r="B42" s="16">
        <v>45780</v>
      </c>
      <c r="C42" s="17"/>
      <c r="D42" s="34"/>
      <c r="E42" s="34"/>
      <c r="F42" s="34"/>
      <c r="G42" s="35"/>
      <c r="H42" s="36"/>
      <c r="I42" s="29">
        <f>+G42*H42</f>
        <v>0</v>
      </c>
      <c r="J42" s="87"/>
      <c r="K42" s="75"/>
      <c r="L42" s="75"/>
      <c r="M42" s="74"/>
      <c r="N42" s="34"/>
    </row>
    <row r="43" spans="1:22" ht="11.25" customHeight="1" x14ac:dyDescent="0.25">
      <c r="A43" s="15">
        <v>27</v>
      </c>
      <c r="B43" s="16">
        <v>45781</v>
      </c>
      <c r="C43" s="17"/>
      <c r="D43" s="38"/>
      <c r="E43" s="38"/>
      <c r="F43" s="26"/>
      <c r="G43" s="71"/>
      <c r="H43" s="96"/>
      <c r="I43" s="29">
        <f>+G43*H43</f>
        <v>0</v>
      </c>
      <c r="J43" s="87"/>
      <c r="K43" s="75"/>
      <c r="L43" s="75"/>
      <c r="M43" s="74"/>
      <c r="N43" s="34"/>
    </row>
    <row r="44" spans="1:22" ht="11.25" customHeight="1" x14ac:dyDescent="0.25">
      <c r="A44" s="41">
        <v>28</v>
      </c>
      <c r="B44" s="16">
        <v>45782</v>
      </c>
      <c r="C44" s="42"/>
      <c r="D44" s="3"/>
      <c r="E44" s="97"/>
      <c r="F44" s="98"/>
      <c r="G44" s="99"/>
      <c r="H44" s="29"/>
      <c r="I44" s="29">
        <f>+G44*H44</f>
        <v>0</v>
      </c>
      <c r="J44" s="87"/>
      <c r="K44" s="100"/>
      <c r="L44" s="100"/>
      <c r="M44" s="74"/>
      <c r="N44" s="26"/>
    </row>
    <row r="45" spans="1:22" ht="11.25" customHeight="1" x14ac:dyDescent="0.25">
      <c r="A45" s="48" t="s">
        <v>24</v>
      </c>
      <c r="B45" s="49"/>
      <c r="C45" s="49"/>
      <c r="D45" s="51"/>
      <c r="E45" s="51"/>
      <c r="F45" s="51"/>
      <c r="G45" s="52">
        <f>SUM(G38:G44)</f>
        <v>0</v>
      </c>
      <c r="H45" s="54"/>
      <c r="I45" s="54">
        <f>SUM(I38:I44)</f>
        <v>0</v>
      </c>
      <c r="J45" s="87"/>
      <c r="K45" s="55">
        <f>+SUM(K38:K44)</f>
        <v>0</v>
      </c>
      <c r="L45" s="11">
        <f>+SUM(L38:L44)</f>
        <v>0</v>
      </c>
      <c r="M45" s="56"/>
      <c r="N45" s="101"/>
    </row>
    <row r="46" spans="1:22" ht="11.25" customHeight="1" x14ac:dyDescent="0.25">
      <c r="A46" s="57" t="s">
        <v>17</v>
      </c>
      <c r="B46" s="58"/>
      <c r="C46" s="58"/>
      <c r="D46" s="59"/>
      <c r="E46" s="59"/>
      <c r="F46" s="59"/>
      <c r="G46" s="61">
        <f>+G36+G45</f>
        <v>0</v>
      </c>
      <c r="H46" s="102"/>
      <c r="I46" s="63">
        <f>I36+I45</f>
        <v>0</v>
      </c>
      <c r="J46" s="87"/>
      <c r="K46" s="64">
        <f>+K36+K45</f>
        <v>0</v>
      </c>
      <c r="L46" s="64">
        <f>+L36+L45</f>
        <v>0</v>
      </c>
      <c r="M46" s="56"/>
      <c r="N46" s="103"/>
    </row>
    <row r="47" spans="1:22" ht="13.5" customHeight="1" x14ac:dyDescent="0.25">
      <c r="A47" s="69">
        <v>29</v>
      </c>
      <c r="B47" s="16">
        <v>45783</v>
      </c>
      <c r="C47" s="70" t="s">
        <v>25</v>
      </c>
      <c r="D47" s="33"/>
      <c r="E47" s="38"/>
      <c r="F47" s="26"/>
      <c r="G47" s="104"/>
      <c r="H47" s="105"/>
      <c r="I47" s="83">
        <f t="shared" ref="I47:I53" si="3">+H47*G47</f>
        <v>0</v>
      </c>
      <c r="J47" s="87"/>
      <c r="K47" s="31"/>
      <c r="L47" s="69"/>
      <c r="M47" s="32"/>
      <c r="N47" s="24"/>
    </row>
    <row r="48" spans="1:22" ht="11.25" customHeight="1" x14ac:dyDescent="0.25">
      <c r="A48" s="15">
        <f t="shared" ref="A48:A53" si="4">+A47+1</f>
        <v>30</v>
      </c>
      <c r="B48" s="16">
        <v>45784</v>
      </c>
      <c r="C48" s="17"/>
      <c r="D48" s="34"/>
      <c r="E48" s="38"/>
      <c r="F48" s="34"/>
      <c r="G48" s="35"/>
      <c r="H48" s="36"/>
      <c r="I48" s="83">
        <f t="shared" si="3"/>
        <v>0</v>
      </c>
      <c r="J48" s="87"/>
      <c r="K48" s="75"/>
      <c r="L48" s="75"/>
      <c r="M48" s="74"/>
      <c r="N48" s="34"/>
    </row>
    <row r="49" spans="1:18" ht="11.25" customHeight="1" x14ac:dyDescent="0.25">
      <c r="A49" s="15">
        <f t="shared" si="4"/>
        <v>31</v>
      </c>
      <c r="B49" s="16">
        <v>45785</v>
      </c>
      <c r="C49" s="17"/>
      <c r="D49" s="34"/>
      <c r="E49" s="34"/>
      <c r="F49" s="26"/>
      <c r="G49" s="104"/>
      <c r="H49" s="26"/>
      <c r="I49" s="83">
        <f t="shared" si="3"/>
        <v>0</v>
      </c>
      <c r="J49" s="87"/>
      <c r="K49" s="75"/>
      <c r="L49" s="75"/>
      <c r="M49" s="74"/>
      <c r="N49" s="34"/>
    </row>
    <row r="50" spans="1:18" ht="11.25" customHeight="1" x14ac:dyDescent="0.25">
      <c r="A50" s="15">
        <f t="shared" si="4"/>
        <v>32</v>
      </c>
      <c r="B50" s="16">
        <v>45786</v>
      </c>
      <c r="C50" s="17"/>
      <c r="D50" s="33"/>
      <c r="E50" s="33"/>
      <c r="F50" s="38"/>
      <c r="G50" s="106"/>
      <c r="H50" s="107"/>
      <c r="I50" s="83">
        <f t="shared" si="3"/>
        <v>0</v>
      </c>
      <c r="J50" s="87"/>
      <c r="K50" s="15"/>
      <c r="L50" s="15"/>
      <c r="M50" s="32"/>
      <c r="N50" s="38"/>
    </row>
    <row r="51" spans="1:18" ht="11.25" customHeight="1" x14ac:dyDescent="0.25">
      <c r="A51" s="15">
        <f t="shared" si="4"/>
        <v>33</v>
      </c>
      <c r="B51" s="16">
        <v>45787</v>
      </c>
      <c r="C51" s="17"/>
      <c r="D51" s="33"/>
      <c r="E51" s="38"/>
      <c r="F51" s="33"/>
      <c r="G51" s="89"/>
      <c r="H51" s="45"/>
      <c r="I51" s="83">
        <f t="shared" si="3"/>
        <v>0</v>
      </c>
      <c r="J51" s="87"/>
      <c r="K51" s="15"/>
      <c r="L51" s="15"/>
      <c r="M51" s="32"/>
      <c r="N51" s="33"/>
    </row>
    <row r="52" spans="1:18" ht="11.25" customHeight="1" x14ac:dyDescent="0.25">
      <c r="A52" s="15">
        <f t="shared" si="4"/>
        <v>34</v>
      </c>
      <c r="B52" s="16">
        <v>45788</v>
      </c>
      <c r="C52" s="17"/>
      <c r="D52" s="34"/>
      <c r="E52" s="26"/>
      <c r="F52" s="34"/>
      <c r="G52" s="35"/>
      <c r="H52" s="36"/>
      <c r="I52" s="83">
        <f t="shared" si="3"/>
        <v>0</v>
      </c>
      <c r="J52" s="87"/>
      <c r="K52" s="75"/>
      <c r="L52" s="75"/>
      <c r="M52" s="74"/>
      <c r="N52" s="34"/>
    </row>
    <row r="53" spans="1:18" ht="11.25" customHeight="1" x14ac:dyDescent="0.25">
      <c r="A53" s="41">
        <f t="shared" si="4"/>
        <v>35</v>
      </c>
      <c r="B53" s="16">
        <v>45789</v>
      </c>
      <c r="C53" s="42"/>
      <c r="D53" s="108"/>
      <c r="E53" s="34"/>
      <c r="F53" s="34"/>
      <c r="G53" s="35"/>
      <c r="H53" s="109"/>
      <c r="I53" s="83">
        <f t="shared" si="3"/>
        <v>0</v>
      </c>
      <c r="J53" s="87"/>
      <c r="K53" s="100"/>
      <c r="L53" s="110"/>
      <c r="M53" s="74"/>
      <c r="N53" s="34"/>
    </row>
    <row r="54" spans="1:18" ht="11.25" customHeight="1" x14ac:dyDescent="0.25">
      <c r="A54" s="48" t="s">
        <v>26</v>
      </c>
      <c r="B54" s="49"/>
      <c r="C54" s="49"/>
      <c r="D54" s="51"/>
      <c r="E54" s="51"/>
      <c r="F54" s="51"/>
      <c r="G54" s="52">
        <f>SUM(G47:G53)</f>
        <v>0</v>
      </c>
      <c r="H54" s="54"/>
      <c r="I54" s="54">
        <f>SUM(I47:I53)</f>
        <v>0</v>
      </c>
      <c r="J54" s="87"/>
      <c r="K54" s="55">
        <f>+SUM(K47:K53)</f>
        <v>0</v>
      </c>
      <c r="L54" s="11">
        <f>+SUM(L47:L53)</f>
        <v>0</v>
      </c>
      <c r="M54" s="56"/>
      <c r="N54" s="101"/>
      <c r="R54" s="76"/>
    </row>
    <row r="55" spans="1:18" ht="11.25" customHeight="1" x14ac:dyDescent="0.25">
      <c r="A55" s="57" t="s">
        <v>17</v>
      </c>
      <c r="B55" s="58"/>
      <c r="C55" s="58"/>
      <c r="D55" s="59"/>
      <c r="E55" s="59"/>
      <c r="F55" s="59"/>
      <c r="G55" s="61">
        <f>+G46+G54</f>
        <v>0</v>
      </c>
      <c r="H55" s="102"/>
      <c r="I55" s="63">
        <f>I46+I54</f>
        <v>0</v>
      </c>
      <c r="J55" s="87"/>
      <c r="K55" s="64">
        <f>+K46+K54</f>
        <v>0</v>
      </c>
      <c r="L55" s="64">
        <f>+L46+L54</f>
        <v>0</v>
      </c>
      <c r="M55" s="56"/>
      <c r="N55" s="103"/>
    </row>
    <row r="56" spans="1:18" ht="11.25" customHeight="1" x14ac:dyDescent="0.25">
      <c r="B56"/>
      <c r="D56" s="51"/>
      <c r="E56" s="51"/>
      <c r="F56" s="51"/>
      <c r="G56" s="67"/>
      <c r="H56" s="80"/>
      <c r="I56" s="53"/>
      <c r="J56" s="87"/>
      <c r="K56" s="68"/>
      <c r="L56" s="32"/>
      <c r="M56" s="32"/>
      <c r="N56" s="51"/>
    </row>
    <row r="57" spans="1:18" ht="15" customHeight="1" x14ac:dyDescent="0.25">
      <c r="A57" s="69">
        <f>35+1</f>
        <v>36</v>
      </c>
      <c r="B57" s="16">
        <v>45790</v>
      </c>
      <c r="C57" s="70" t="s">
        <v>27</v>
      </c>
      <c r="D57" s="38"/>
      <c r="E57" s="111"/>
      <c r="F57" s="26"/>
      <c r="G57" s="104"/>
      <c r="H57" s="18"/>
      <c r="I57" s="83">
        <f>+H57*G57</f>
        <v>0</v>
      </c>
      <c r="J57" s="87"/>
      <c r="K57" s="72"/>
      <c r="L57" s="73"/>
      <c r="M57" s="74"/>
      <c r="N57" s="26"/>
    </row>
    <row r="58" spans="1:18" ht="11.25" customHeight="1" x14ac:dyDescent="0.25">
      <c r="A58" s="15">
        <f t="shared" ref="A58:A63" si="5">A57+1</f>
        <v>37</v>
      </c>
      <c r="B58" s="16">
        <v>45791</v>
      </c>
      <c r="C58" s="17"/>
      <c r="D58" s="33"/>
      <c r="E58" s="38"/>
      <c r="F58" s="34"/>
      <c r="G58" s="104"/>
      <c r="H58" s="26"/>
      <c r="I58" s="29">
        <f>G58*H58</f>
        <v>0</v>
      </c>
      <c r="J58" s="87"/>
      <c r="K58" s="75"/>
      <c r="L58" s="75"/>
      <c r="M58" s="74"/>
      <c r="N58" s="34"/>
    </row>
    <row r="59" spans="1:18" ht="11.25" customHeight="1" x14ac:dyDescent="0.25">
      <c r="A59" s="15">
        <f t="shared" si="5"/>
        <v>38</v>
      </c>
      <c r="B59" s="16">
        <v>45792</v>
      </c>
      <c r="C59" s="17"/>
      <c r="D59" s="33"/>
      <c r="E59" s="38"/>
      <c r="F59" s="26"/>
      <c r="G59" s="104"/>
      <c r="H59" s="26"/>
      <c r="I59" s="83">
        <f>+G59*H59</f>
        <v>0</v>
      </c>
      <c r="J59" s="87"/>
      <c r="K59" s="75"/>
      <c r="L59" s="112"/>
      <c r="M59" s="74"/>
      <c r="N59" s="34"/>
    </row>
    <row r="60" spans="1:18" ht="11.25" customHeight="1" x14ac:dyDescent="0.25">
      <c r="A60" s="15">
        <f t="shared" si="5"/>
        <v>39</v>
      </c>
      <c r="B60" s="16">
        <v>45793</v>
      </c>
      <c r="C60" s="17"/>
      <c r="D60" s="33"/>
      <c r="E60" s="38"/>
      <c r="F60" s="26"/>
      <c r="G60" s="104"/>
      <c r="H60" s="113"/>
      <c r="I60" s="83">
        <f>+H60*G60</f>
        <v>0</v>
      </c>
      <c r="J60" s="87"/>
      <c r="K60" s="75"/>
      <c r="L60" s="75"/>
      <c r="M60" s="74"/>
      <c r="N60" s="34"/>
    </row>
    <row r="61" spans="1:18" ht="11.25" customHeight="1" x14ac:dyDescent="0.25">
      <c r="A61" s="15">
        <f t="shared" si="5"/>
        <v>40</v>
      </c>
      <c r="B61" s="16">
        <v>45794</v>
      </c>
      <c r="C61" s="17"/>
      <c r="D61" s="34"/>
      <c r="E61" s="34"/>
      <c r="F61" s="26"/>
      <c r="G61" s="104"/>
      <c r="H61" s="113"/>
      <c r="I61" s="83"/>
      <c r="J61" s="87"/>
      <c r="K61" s="75"/>
      <c r="L61" s="75"/>
      <c r="M61" s="74"/>
      <c r="N61" s="34"/>
    </row>
    <row r="62" spans="1:18" ht="11.25" customHeight="1" x14ac:dyDescent="0.25">
      <c r="A62" s="15">
        <f t="shared" si="5"/>
        <v>41</v>
      </c>
      <c r="B62" s="16">
        <v>45795</v>
      </c>
      <c r="C62" s="17"/>
      <c r="D62" s="38"/>
      <c r="E62" s="111"/>
      <c r="F62" s="26"/>
      <c r="G62" s="104"/>
      <c r="H62" s="26"/>
      <c r="I62" s="83">
        <f>+H62*G62</f>
        <v>0</v>
      </c>
      <c r="J62" s="87"/>
      <c r="K62" s="75"/>
      <c r="L62" s="75"/>
      <c r="M62" s="74"/>
      <c r="N62" s="34"/>
    </row>
    <row r="63" spans="1:18" ht="11.25" customHeight="1" x14ac:dyDescent="0.25">
      <c r="A63" s="41">
        <f t="shared" si="5"/>
        <v>42</v>
      </c>
      <c r="B63" s="16">
        <v>45796</v>
      </c>
      <c r="C63" s="42"/>
      <c r="D63" s="34"/>
      <c r="E63" s="34"/>
      <c r="F63" s="26"/>
      <c r="G63" s="104"/>
      <c r="H63" s="108"/>
      <c r="I63" s="83">
        <f>+H63*G63</f>
        <v>0</v>
      </c>
      <c r="J63" s="87"/>
      <c r="K63" s="100"/>
      <c r="L63" s="100"/>
      <c r="M63" s="74"/>
      <c r="N63" s="34"/>
    </row>
    <row r="64" spans="1:18" ht="11.25" customHeight="1" x14ac:dyDescent="0.25">
      <c r="A64" s="48" t="s">
        <v>28</v>
      </c>
      <c r="B64" s="114"/>
      <c r="C64" s="114"/>
      <c r="D64" s="51"/>
      <c r="E64" s="51"/>
      <c r="F64" s="51"/>
      <c r="G64" s="52">
        <f>SUM(G57:G63)</f>
        <v>0</v>
      </c>
      <c r="H64" s="54"/>
      <c r="I64" s="54">
        <f>SUM(I57:I63)</f>
        <v>0</v>
      </c>
      <c r="J64" s="87"/>
      <c r="K64" s="11">
        <f>+SUM(K57:K63)</f>
        <v>0</v>
      </c>
      <c r="L64" s="11">
        <f>+SUM(L57:L63)</f>
        <v>0</v>
      </c>
      <c r="M64" s="56"/>
      <c r="N64" s="11"/>
    </row>
    <row r="65" spans="1:20" ht="11.25" customHeight="1" x14ac:dyDescent="0.25">
      <c r="A65" s="57" t="s">
        <v>17</v>
      </c>
      <c r="B65" s="115"/>
      <c r="C65" s="115"/>
      <c r="D65" s="59"/>
      <c r="E65" s="59"/>
      <c r="F65" s="59"/>
      <c r="G65" s="61">
        <f>+G55+G64</f>
        <v>0</v>
      </c>
      <c r="H65" s="102"/>
      <c r="I65" s="63">
        <f>I55+I64</f>
        <v>0</v>
      </c>
      <c r="J65" s="87"/>
      <c r="K65" s="64">
        <f>+K55+K64</f>
        <v>0</v>
      </c>
      <c r="L65" s="64">
        <f>+L55+L64</f>
        <v>0</v>
      </c>
      <c r="M65" s="56"/>
      <c r="N65" s="64"/>
    </row>
    <row r="66" spans="1:20" ht="11.25" customHeight="1" x14ac:dyDescent="0.25">
      <c r="B66"/>
      <c r="D66" s="51"/>
      <c r="E66" s="51"/>
      <c r="F66" s="51"/>
      <c r="G66" s="67"/>
      <c r="H66" s="53"/>
      <c r="I66" s="80"/>
      <c r="J66" s="87"/>
      <c r="K66" s="68"/>
      <c r="L66" s="32"/>
      <c r="M66" s="32"/>
      <c r="N66" s="51"/>
      <c r="Q66" s="116"/>
    </row>
    <row r="67" spans="1:20" ht="14.25" customHeight="1" x14ac:dyDescent="0.25">
      <c r="A67" s="69">
        <v>43</v>
      </c>
      <c r="B67" s="16">
        <v>45797</v>
      </c>
      <c r="C67" s="70" t="s">
        <v>29</v>
      </c>
      <c r="D67" s="38"/>
      <c r="E67" s="111"/>
      <c r="F67" s="33"/>
      <c r="G67" s="89"/>
      <c r="H67" s="45"/>
      <c r="I67" s="105">
        <f>+G67*H67</f>
        <v>0</v>
      </c>
      <c r="J67" s="87"/>
      <c r="K67" s="15"/>
      <c r="L67" s="69"/>
      <c r="M67" s="32"/>
      <c r="N67" s="33"/>
    </row>
    <row r="68" spans="1:20" ht="11.25" customHeight="1" x14ac:dyDescent="0.25">
      <c r="A68" s="15">
        <v>44</v>
      </c>
      <c r="B68" s="16">
        <v>45798</v>
      </c>
      <c r="C68" s="17"/>
      <c r="D68" s="38"/>
      <c r="E68" s="111"/>
      <c r="F68" s="33"/>
      <c r="G68" s="89"/>
      <c r="H68" s="45"/>
      <c r="I68" s="107">
        <f t="shared" ref="I68:I73" si="6">+G68*H68</f>
        <v>0</v>
      </c>
      <c r="J68" s="87"/>
      <c r="K68" s="15"/>
      <c r="L68" s="15"/>
      <c r="M68" s="32"/>
      <c r="N68" s="33"/>
    </row>
    <row r="69" spans="1:20" ht="11.25" customHeight="1" x14ac:dyDescent="0.25">
      <c r="A69" s="15">
        <v>45</v>
      </c>
      <c r="B69" s="16">
        <v>45799</v>
      </c>
      <c r="C69" s="17"/>
      <c r="D69" s="33"/>
      <c r="E69" s="38"/>
      <c r="F69" s="38"/>
      <c r="G69" s="106"/>
      <c r="H69" s="117"/>
      <c r="I69" s="107">
        <f t="shared" si="6"/>
        <v>0</v>
      </c>
      <c r="J69" s="87"/>
      <c r="K69" s="15"/>
      <c r="L69" s="15"/>
      <c r="M69" s="32"/>
      <c r="N69" s="38"/>
      <c r="Q69" s="116"/>
    </row>
    <row r="70" spans="1:20" ht="11.25" customHeight="1" x14ac:dyDescent="0.25">
      <c r="A70" s="15">
        <v>46</v>
      </c>
      <c r="B70" s="16">
        <v>45800</v>
      </c>
      <c r="C70" s="17"/>
      <c r="D70" s="33"/>
      <c r="E70" s="33"/>
      <c r="F70" s="38"/>
      <c r="G70" s="106"/>
      <c r="H70" s="107"/>
      <c r="I70" s="107">
        <f t="shared" si="6"/>
        <v>0</v>
      </c>
      <c r="J70" s="87"/>
      <c r="K70" s="15"/>
      <c r="L70" s="15"/>
      <c r="M70" s="32"/>
      <c r="N70" s="38"/>
    </row>
    <row r="71" spans="1:20" ht="11.25" customHeight="1" x14ac:dyDescent="0.25">
      <c r="A71" s="15">
        <v>47</v>
      </c>
      <c r="B71" s="16">
        <v>45801</v>
      </c>
      <c r="C71" s="17"/>
      <c r="D71" s="38"/>
      <c r="E71" s="34"/>
      <c r="F71" s="34"/>
      <c r="G71" s="35"/>
      <c r="H71" s="96"/>
      <c r="I71" s="107">
        <f t="shared" si="6"/>
        <v>0</v>
      </c>
      <c r="J71" s="87"/>
      <c r="K71" s="75"/>
      <c r="L71" s="75"/>
      <c r="M71" s="74"/>
      <c r="N71" s="34"/>
    </row>
    <row r="72" spans="1:20" ht="11.25" customHeight="1" x14ac:dyDescent="0.25">
      <c r="A72" s="15">
        <v>48</v>
      </c>
      <c r="B72" s="16">
        <v>45802</v>
      </c>
      <c r="C72" s="17"/>
      <c r="D72" s="33"/>
      <c r="E72" s="38"/>
      <c r="F72" s="34"/>
      <c r="G72" s="35"/>
      <c r="H72" s="36"/>
      <c r="I72" s="107">
        <f t="shared" si="6"/>
        <v>0</v>
      </c>
      <c r="J72" s="87"/>
      <c r="K72" s="75"/>
      <c r="L72" s="75"/>
      <c r="M72" s="74"/>
      <c r="N72" s="34"/>
    </row>
    <row r="73" spans="1:20" ht="11.25" customHeight="1" x14ac:dyDescent="0.25">
      <c r="A73" s="41">
        <v>49</v>
      </c>
      <c r="B73" s="16">
        <v>45803</v>
      </c>
      <c r="C73" s="42"/>
      <c r="D73" s="38"/>
      <c r="E73" s="111"/>
      <c r="F73" s="38"/>
      <c r="G73" s="106"/>
      <c r="H73" s="118"/>
      <c r="I73" s="83">
        <f t="shared" si="6"/>
        <v>0</v>
      </c>
      <c r="J73" s="87"/>
      <c r="K73" s="15"/>
      <c r="L73" s="15"/>
      <c r="M73" s="32"/>
      <c r="N73" s="38"/>
    </row>
    <row r="74" spans="1:20" ht="11.25" customHeight="1" x14ac:dyDescent="0.25">
      <c r="A74" s="48" t="s">
        <v>30</v>
      </c>
      <c r="B74" s="114"/>
      <c r="C74" s="114"/>
      <c r="D74" s="51"/>
      <c r="E74" s="51"/>
      <c r="F74" s="51"/>
      <c r="G74" s="119">
        <f>SUM(G67:G73)</f>
        <v>0</v>
      </c>
      <c r="H74" s="120"/>
      <c r="I74" s="120">
        <f>SUM(I67:I73)</f>
        <v>0</v>
      </c>
      <c r="J74" s="87"/>
      <c r="K74" s="55">
        <f>+SUM(K67:K73)</f>
        <v>0</v>
      </c>
      <c r="L74" s="11">
        <f>+SUM(L67:L73)</f>
        <v>0</v>
      </c>
      <c r="M74" s="56"/>
      <c r="N74" s="11"/>
    </row>
    <row r="75" spans="1:20" ht="11.25" customHeight="1" x14ac:dyDescent="0.25">
      <c r="A75" s="121" t="s">
        <v>17</v>
      </c>
      <c r="B75" s="122"/>
      <c r="C75" s="122"/>
      <c r="D75" s="123"/>
      <c r="E75" s="123"/>
      <c r="F75" s="123"/>
      <c r="G75" s="124">
        <f>+G65+G74</f>
        <v>0</v>
      </c>
      <c r="H75" s="125"/>
      <c r="I75" s="126">
        <f>I65+I74</f>
        <v>0</v>
      </c>
      <c r="J75" s="127"/>
      <c r="K75" s="128">
        <f>+K65+K74</f>
        <v>0</v>
      </c>
      <c r="L75" s="129">
        <f>+L65+L74</f>
        <v>0</v>
      </c>
      <c r="M75" s="130"/>
      <c r="N75" s="129"/>
    </row>
    <row r="76" spans="1:20" s="134" customFormat="1" ht="11.25" customHeight="1" x14ac:dyDescent="0.25">
      <c r="A76"/>
      <c r="B76"/>
      <c r="C76"/>
      <c r="D76" s="78"/>
      <c r="E76" s="78"/>
      <c r="F76" s="78"/>
      <c r="G76" s="131"/>
      <c r="H76" s="132"/>
      <c r="I76" s="133"/>
      <c r="J76" s="127"/>
      <c r="K76" s="68"/>
      <c r="L76" s="32"/>
      <c r="M76" s="32"/>
      <c r="N76" s="78"/>
      <c r="P76"/>
      <c r="Q76"/>
      <c r="R76"/>
      <c r="S76"/>
      <c r="T76"/>
    </row>
    <row r="77" spans="1:20" ht="12" customHeight="1" x14ac:dyDescent="0.25">
      <c r="A77" s="69">
        <v>50</v>
      </c>
      <c r="B77" s="16">
        <v>45804</v>
      </c>
      <c r="C77" s="70" t="s">
        <v>31</v>
      </c>
      <c r="D77" s="24"/>
      <c r="E77" s="24"/>
      <c r="F77" s="18"/>
      <c r="G77" s="20"/>
      <c r="H77" s="21"/>
      <c r="I77" s="21">
        <f>+G77*H77</f>
        <v>0</v>
      </c>
      <c r="J77" s="127"/>
      <c r="K77" s="73"/>
      <c r="L77" s="135"/>
      <c r="M77" s="74"/>
      <c r="N77" s="18"/>
    </row>
    <row r="78" spans="1:20" ht="11.25" customHeight="1" x14ac:dyDescent="0.25">
      <c r="A78" s="15">
        <v>51</v>
      </c>
      <c r="B78" s="16">
        <v>45805</v>
      </c>
      <c r="C78" s="17"/>
      <c r="D78" s="38"/>
      <c r="E78" s="33"/>
      <c r="F78" s="26"/>
      <c r="G78" s="71"/>
      <c r="H78" s="29"/>
      <c r="I78" s="36">
        <f t="shared" ref="I78:I83" si="7">+G78*H78</f>
        <v>0</v>
      </c>
      <c r="J78" s="127"/>
      <c r="K78" s="75"/>
      <c r="L78" s="75"/>
      <c r="M78" s="74"/>
      <c r="N78" s="26"/>
    </row>
    <row r="79" spans="1:20" ht="11.25" customHeight="1" x14ac:dyDescent="0.25">
      <c r="A79" s="15">
        <v>52</v>
      </c>
      <c r="B79" s="16">
        <v>45806</v>
      </c>
      <c r="C79" s="17"/>
      <c r="D79" s="34"/>
      <c r="E79" s="34"/>
      <c r="F79" s="26"/>
      <c r="G79" s="71"/>
      <c r="H79" s="29"/>
      <c r="I79" s="36">
        <f t="shared" si="7"/>
        <v>0</v>
      </c>
      <c r="J79" s="127"/>
      <c r="K79" s="72"/>
      <c r="L79" s="72"/>
      <c r="M79" s="74"/>
      <c r="N79" s="26"/>
    </row>
    <row r="80" spans="1:20" ht="11.25" customHeight="1" x14ac:dyDescent="0.25">
      <c r="A80" s="15">
        <v>53</v>
      </c>
      <c r="B80" s="16">
        <v>45807</v>
      </c>
      <c r="C80" s="17"/>
      <c r="D80" s="26"/>
      <c r="E80" s="34"/>
      <c r="F80" s="34"/>
      <c r="G80" s="35"/>
      <c r="H80" s="96"/>
      <c r="I80" s="36">
        <f t="shared" si="7"/>
        <v>0</v>
      </c>
      <c r="J80" s="127"/>
      <c r="K80" s="75"/>
      <c r="L80" s="75"/>
      <c r="M80" s="74"/>
      <c r="N80" s="26"/>
    </row>
    <row r="81" spans="1:18" ht="11.25" customHeight="1" x14ac:dyDescent="0.25">
      <c r="A81" s="15">
        <v>54</v>
      </c>
      <c r="B81" s="16">
        <v>45808</v>
      </c>
      <c r="C81" s="17"/>
      <c r="D81" s="38"/>
      <c r="E81" s="34"/>
      <c r="F81" s="26"/>
      <c r="G81" s="35"/>
      <c r="H81" s="29"/>
      <c r="I81" s="36">
        <f t="shared" si="7"/>
        <v>0</v>
      </c>
      <c r="J81" s="127"/>
      <c r="K81" s="75"/>
      <c r="L81" s="112"/>
      <c r="M81" s="74"/>
      <c r="N81" s="34"/>
    </row>
    <row r="82" spans="1:18" ht="11.25" customHeight="1" x14ac:dyDescent="0.25">
      <c r="A82" s="15">
        <v>55</v>
      </c>
      <c r="B82" s="16">
        <v>45809</v>
      </c>
      <c r="C82" s="17"/>
      <c r="D82" s="33"/>
      <c r="E82" s="38"/>
      <c r="F82" s="26"/>
      <c r="G82" s="35"/>
      <c r="H82" s="26"/>
      <c r="I82" s="36">
        <f t="shared" si="7"/>
        <v>0</v>
      </c>
      <c r="J82" s="127"/>
      <c r="K82" s="75"/>
      <c r="L82" s="112"/>
      <c r="M82" s="74"/>
      <c r="N82" s="26"/>
    </row>
    <row r="83" spans="1:18" ht="11.25" customHeight="1" x14ac:dyDescent="0.25">
      <c r="A83" s="41">
        <v>56</v>
      </c>
      <c r="B83" s="16">
        <v>45810</v>
      </c>
      <c r="C83" s="42"/>
      <c r="D83" s="38"/>
      <c r="E83" s="38"/>
      <c r="F83" s="136"/>
      <c r="G83" s="137"/>
      <c r="H83" s="138"/>
      <c r="I83" s="29">
        <f t="shared" si="7"/>
        <v>0</v>
      </c>
      <c r="J83" s="127"/>
      <c r="K83" s="75"/>
      <c r="L83" s="139"/>
      <c r="M83" s="134"/>
      <c r="N83" s="140"/>
    </row>
    <row r="84" spans="1:18" ht="11.25" customHeight="1" x14ac:dyDescent="0.25">
      <c r="A84" s="48" t="s">
        <v>32</v>
      </c>
      <c r="B84" s="114"/>
      <c r="C84" s="114"/>
      <c r="D84" s="51"/>
      <c r="E84" s="51"/>
      <c r="F84" s="51"/>
      <c r="G84" s="119">
        <f>SUM(G77:G83)</f>
        <v>0</v>
      </c>
      <c r="H84" s="120"/>
      <c r="I84" s="120">
        <f>SUM(I77:I83)</f>
        <v>0</v>
      </c>
      <c r="J84" s="127"/>
      <c r="K84" s="55">
        <f>+SUM(K77:K82)</f>
        <v>0</v>
      </c>
      <c r="L84" s="11">
        <f>+SUM(L77:L82)</f>
        <v>0</v>
      </c>
      <c r="M84" s="56"/>
      <c r="N84" s="55"/>
    </row>
    <row r="85" spans="1:18" ht="11.25" customHeight="1" x14ac:dyDescent="0.25">
      <c r="A85" s="57" t="s">
        <v>17</v>
      </c>
      <c r="B85" s="115"/>
      <c r="C85" s="115"/>
      <c r="D85" s="59"/>
      <c r="E85" s="59"/>
      <c r="F85" s="59"/>
      <c r="G85" s="61">
        <f>+G75+G84</f>
        <v>0</v>
      </c>
      <c r="H85" s="102"/>
      <c r="I85" s="63">
        <f>I75+I84</f>
        <v>0</v>
      </c>
      <c r="J85" s="127"/>
      <c r="K85" s="65">
        <f>+K75+K84</f>
        <v>0</v>
      </c>
      <c r="L85" s="64">
        <f>+L75+L84</f>
        <v>0</v>
      </c>
      <c r="M85" s="56"/>
      <c r="N85" s="64"/>
    </row>
    <row r="86" spans="1:18" ht="11.25" customHeight="1" x14ac:dyDescent="0.25">
      <c r="B86"/>
      <c r="D86" s="51"/>
      <c r="E86" s="51"/>
      <c r="F86" s="51"/>
      <c r="G86" s="141"/>
      <c r="H86" s="142"/>
      <c r="I86" s="142"/>
      <c r="J86" s="127"/>
      <c r="K86" s="68"/>
      <c r="L86" s="32"/>
      <c r="M86" s="32"/>
      <c r="N86" s="51"/>
    </row>
    <row r="87" spans="1:18" ht="8.25" customHeight="1" x14ac:dyDescent="0.25">
      <c r="A87" s="69">
        <v>57</v>
      </c>
      <c r="B87" s="16">
        <v>45811</v>
      </c>
      <c r="C87" s="70" t="s">
        <v>33</v>
      </c>
      <c r="D87" s="33"/>
      <c r="E87" s="33"/>
      <c r="F87" s="33"/>
      <c r="G87" s="88"/>
      <c r="H87" s="83"/>
      <c r="I87" s="105">
        <f t="shared" ref="I87:I92" si="8">+G87*H87</f>
        <v>0</v>
      </c>
      <c r="J87" s="127"/>
      <c r="K87" s="31"/>
      <c r="L87" s="69"/>
      <c r="M87" s="32"/>
      <c r="N87" s="33"/>
    </row>
    <row r="88" spans="1:18" ht="11.25" customHeight="1" x14ac:dyDescent="0.25">
      <c r="A88" s="15">
        <v>58</v>
      </c>
      <c r="B88" s="16">
        <v>45812</v>
      </c>
      <c r="C88" s="17"/>
      <c r="D88" s="26"/>
      <c r="E88" s="26"/>
      <c r="F88" s="34"/>
      <c r="G88" s="35"/>
      <c r="H88" s="36"/>
      <c r="I88" s="107">
        <f t="shared" si="8"/>
        <v>0</v>
      </c>
      <c r="J88" s="127"/>
      <c r="K88" s="15"/>
      <c r="L88" s="143"/>
      <c r="M88" s="32"/>
      <c r="N88" s="38"/>
    </row>
    <row r="89" spans="1:18" ht="11.25" customHeight="1" x14ac:dyDescent="0.25">
      <c r="A89" s="15">
        <v>59</v>
      </c>
      <c r="B89" s="16">
        <v>45813</v>
      </c>
      <c r="C89" s="17"/>
      <c r="D89" s="26"/>
      <c r="E89" s="26"/>
      <c r="F89" s="34"/>
      <c r="G89" s="35"/>
      <c r="H89" s="36"/>
      <c r="I89" s="107">
        <f t="shared" si="8"/>
        <v>0</v>
      </c>
      <c r="J89" s="127"/>
      <c r="K89" s="75"/>
      <c r="L89" s="75"/>
      <c r="M89" s="74"/>
      <c r="N89" s="34"/>
    </row>
    <row r="90" spans="1:18" ht="11.25" customHeight="1" x14ac:dyDescent="0.25">
      <c r="A90" s="15">
        <v>60</v>
      </c>
      <c r="B90" s="16">
        <v>45814</v>
      </c>
      <c r="C90" s="17"/>
      <c r="D90" s="34"/>
      <c r="E90" s="26"/>
      <c r="F90" s="34"/>
      <c r="G90" s="35"/>
      <c r="H90" s="36"/>
      <c r="I90" s="107">
        <f t="shared" si="8"/>
        <v>0</v>
      </c>
      <c r="J90" s="127"/>
      <c r="K90" s="75"/>
      <c r="L90" s="112"/>
      <c r="M90" s="74"/>
      <c r="N90" s="34"/>
    </row>
    <row r="91" spans="1:18" ht="11.25" customHeight="1" x14ac:dyDescent="0.25">
      <c r="A91" s="15">
        <v>61</v>
      </c>
      <c r="B91" s="16">
        <v>45815</v>
      </c>
      <c r="C91" s="17"/>
      <c r="D91" s="38"/>
      <c r="E91" s="38"/>
      <c r="F91" s="26"/>
      <c r="G91" s="71"/>
      <c r="H91" s="29"/>
      <c r="I91" s="107">
        <f t="shared" si="8"/>
        <v>0</v>
      </c>
      <c r="J91" s="127"/>
      <c r="K91" s="75"/>
      <c r="L91" s="75"/>
      <c r="M91" s="74"/>
      <c r="N91" s="26"/>
    </row>
    <row r="92" spans="1:18" ht="11.25" customHeight="1" x14ac:dyDescent="0.25">
      <c r="A92" s="15">
        <v>62</v>
      </c>
      <c r="B92" s="16">
        <v>45816</v>
      </c>
      <c r="C92" s="17"/>
      <c r="D92" s="33"/>
      <c r="E92" s="33"/>
      <c r="F92" s="34"/>
      <c r="G92" s="35"/>
      <c r="H92" s="36"/>
      <c r="I92" s="107">
        <f t="shared" si="8"/>
        <v>0</v>
      </c>
      <c r="J92" s="127"/>
      <c r="K92" s="75"/>
      <c r="L92" s="75"/>
      <c r="M92" s="74"/>
      <c r="N92" s="34"/>
    </row>
    <row r="93" spans="1:18" ht="11.25" customHeight="1" x14ac:dyDescent="0.25">
      <c r="A93" s="41">
        <v>63</v>
      </c>
      <c r="B93" s="16">
        <v>45817</v>
      </c>
      <c r="C93" s="42"/>
      <c r="D93" s="34"/>
      <c r="E93" s="26"/>
      <c r="F93" s="34"/>
      <c r="G93" s="35"/>
      <c r="H93" s="36"/>
      <c r="I93" s="83">
        <f>G93*H93</f>
        <v>0</v>
      </c>
      <c r="J93" s="127"/>
      <c r="K93" s="100"/>
      <c r="L93" s="100"/>
      <c r="M93" s="74"/>
      <c r="N93" s="144"/>
      <c r="R93" s="76"/>
    </row>
    <row r="94" spans="1:18" ht="11.25" customHeight="1" x14ac:dyDescent="0.25">
      <c r="A94" s="48" t="s">
        <v>34</v>
      </c>
      <c r="B94" s="114"/>
      <c r="C94" s="114"/>
      <c r="D94" s="51"/>
      <c r="E94" s="51"/>
      <c r="F94" s="51"/>
      <c r="G94" s="52">
        <f>SUM(G87:G93)</f>
        <v>0</v>
      </c>
      <c r="H94" s="54"/>
      <c r="I94" s="54">
        <f>SUM(I87:I93)</f>
        <v>0</v>
      </c>
      <c r="J94" s="127"/>
      <c r="K94" s="55">
        <f>+SUM(K87:K93)</f>
        <v>0</v>
      </c>
      <c r="L94" s="11">
        <f>+SUM(L87:L93)</f>
        <v>0</v>
      </c>
      <c r="M94" s="56"/>
      <c r="N94" s="11"/>
    </row>
    <row r="95" spans="1:18" ht="11.25" customHeight="1" x14ac:dyDescent="0.25">
      <c r="A95" s="57" t="s">
        <v>17</v>
      </c>
      <c r="B95" s="115"/>
      <c r="C95" s="115"/>
      <c r="D95" s="59"/>
      <c r="E95" s="59"/>
      <c r="F95" s="59"/>
      <c r="G95" s="61">
        <f>+G85+G94</f>
        <v>0</v>
      </c>
      <c r="H95" s="102"/>
      <c r="I95" s="63">
        <f>I85+I94</f>
        <v>0</v>
      </c>
      <c r="J95" s="127"/>
      <c r="K95" s="65">
        <f>+K85+K94</f>
        <v>0</v>
      </c>
      <c r="L95" s="64">
        <f>+L85+L94</f>
        <v>0</v>
      </c>
      <c r="M95" s="56"/>
      <c r="N95" s="64"/>
    </row>
    <row r="96" spans="1:18" ht="11.25" customHeight="1" x14ac:dyDescent="0.25">
      <c r="B96"/>
      <c r="D96" s="51"/>
      <c r="E96" s="51"/>
      <c r="F96" s="51"/>
      <c r="G96" s="67"/>
      <c r="H96" s="53"/>
      <c r="I96" s="53"/>
      <c r="J96" s="127"/>
      <c r="K96" s="68"/>
      <c r="L96" s="32"/>
      <c r="M96" s="32"/>
      <c r="N96" s="51"/>
      <c r="R96" s="76"/>
    </row>
    <row r="97" spans="1:14" ht="12.75" customHeight="1" x14ac:dyDescent="0.25">
      <c r="A97" s="69">
        <v>64</v>
      </c>
      <c r="B97" s="16">
        <v>45818</v>
      </c>
      <c r="C97" s="70" t="s">
        <v>35</v>
      </c>
      <c r="D97" s="34"/>
      <c r="E97" s="26"/>
      <c r="F97" s="34"/>
      <c r="G97" s="35"/>
      <c r="H97" s="36"/>
      <c r="I97" s="36">
        <f>+G97*H97</f>
        <v>0</v>
      </c>
      <c r="J97" s="145"/>
      <c r="K97" s="31"/>
      <c r="L97" s="69"/>
      <c r="M97" s="32"/>
      <c r="N97" s="38"/>
    </row>
    <row r="98" spans="1:14" ht="11.25" customHeight="1" x14ac:dyDescent="0.25">
      <c r="A98" s="15">
        <v>65</v>
      </c>
      <c r="B98" s="16">
        <v>45819</v>
      </c>
      <c r="C98" s="17"/>
      <c r="D98" s="34"/>
      <c r="E98" s="146"/>
      <c r="F98" s="34"/>
      <c r="G98" s="35"/>
      <c r="H98" s="36"/>
      <c r="I98" s="36">
        <f t="shared" ref="I98:I103" si="9">+G98*H98</f>
        <v>0</v>
      </c>
      <c r="J98" s="145"/>
      <c r="K98" s="75"/>
      <c r="L98" s="75"/>
      <c r="M98" s="74"/>
      <c r="N98" s="34"/>
    </row>
    <row r="99" spans="1:14" x14ac:dyDescent="0.25">
      <c r="A99" s="15">
        <v>66</v>
      </c>
      <c r="B99" s="16">
        <v>45820</v>
      </c>
      <c r="C99" s="17"/>
      <c r="D99" s="34"/>
      <c r="E99" s="146"/>
      <c r="F99" s="34"/>
      <c r="G99" s="35"/>
      <c r="H99" s="36"/>
      <c r="I99" s="36">
        <f t="shared" si="9"/>
        <v>0</v>
      </c>
      <c r="J99" s="145"/>
      <c r="K99" s="75"/>
      <c r="L99" s="75"/>
      <c r="M99" s="74"/>
      <c r="N99" s="34"/>
    </row>
    <row r="100" spans="1:14" ht="11.25" customHeight="1" x14ac:dyDescent="0.25">
      <c r="A100" s="15">
        <v>67</v>
      </c>
      <c r="B100" s="16">
        <v>45821</v>
      </c>
      <c r="C100" s="17"/>
      <c r="D100" s="38"/>
      <c r="E100" s="38"/>
      <c r="F100" s="34"/>
      <c r="G100" s="35"/>
      <c r="H100" s="147"/>
      <c r="I100" s="36">
        <f t="shared" si="9"/>
        <v>0</v>
      </c>
      <c r="J100" s="145"/>
      <c r="K100" s="75"/>
      <c r="L100" s="75"/>
      <c r="M100" s="74"/>
      <c r="N100" s="34"/>
    </row>
    <row r="101" spans="1:14" ht="11.25" customHeight="1" x14ac:dyDescent="0.25">
      <c r="A101" s="15">
        <v>68</v>
      </c>
      <c r="B101" s="16">
        <v>45822</v>
      </c>
      <c r="C101" s="17"/>
      <c r="D101" s="33"/>
      <c r="E101" s="33"/>
      <c r="F101" s="34"/>
      <c r="G101" s="35"/>
      <c r="H101" s="36"/>
      <c r="I101" s="36">
        <f t="shared" si="9"/>
        <v>0</v>
      </c>
      <c r="J101" s="145"/>
      <c r="K101" s="75"/>
      <c r="L101" s="75"/>
      <c r="M101" s="74"/>
      <c r="N101" s="34"/>
    </row>
    <row r="102" spans="1:14" ht="11.25" customHeight="1" x14ac:dyDescent="0.25">
      <c r="A102" s="15">
        <v>69</v>
      </c>
      <c r="B102" s="16">
        <v>45823</v>
      </c>
      <c r="C102" s="17"/>
      <c r="D102" s="33"/>
      <c r="E102" s="33"/>
      <c r="F102" s="34"/>
      <c r="G102" s="35"/>
      <c r="H102" s="36"/>
      <c r="I102" s="36">
        <f t="shared" si="9"/>
        <v>0</v>
      </c>
      <c r="J102" s="145"/>
      <c r="K102" s="75"/>
      <c r="L102" s="75"/>
      <c r="M102" s="74"/>
      <c r="N102" s="34"/>
    </row>
    <row r="103" spans="1:14" ht="11.25" customHeight="1" x14ac:dyDescent="0.25">
      <c r="A103" s="41">
        <v>70</v>
      </c>
      <c r="B103" s="16">
        <v>45824</v>
      </c>
      <c r="C103" s="42"/>
      <c r="D103" s="33"/>
      <c r="E103" s="33"/>
      <c r="F103" s="38"/>
      <c r="G103" s="106"/>
      <c r="H103" s="107"/>
      <c r="I103" s="36">
        <f t="shared" si="9"/>
        <v>0</v>
      </c>
      <c r="J103" s="145"/>
      <c r="K103" s="47"/>
      <c r="L103" s="47"/>
      <c r="M103" s="32"/>
      <c r="N103" s="34"/>
    </row>
    <row r="104" spans="1:14" ht="11.25" customHeight="1" x14ac:dyDescent="0.25">
      <c r="A104" s="48" t="s">
        <v>36</v>
      </c>
      <c r="B104" s="114"/>
      <c r="C104" s="114"/>
      <c r="D104" s="51"/>
      <c r="E104" s="51"/>
      <c r="F104" s="51"/>
      <c r="G104" s="52">
        <f>SUM(G97:G103)</f>
        <v>0</v>
      </c>
      <c r="H104" s="54"/>
      <c r="I104" s="54">
        <f>SUM(I97:I103)</f>
        <v>0</v>
      </c>
      <c r="J104" s="145"/>
      <c r="K104" s="55">
        <f>+SUM(K97:K103)</f>
        <v>0</v>
      </c>
      <c r="L104" s="11">
        <f>+SUM(L97:L103)</f>
        <v>0</v>
      </c>
      <c r="M104" s="56"/>
      <c r="N104" s="11"/>
    </row>
    <row r="105" spans="1:14" ht="11.25" customHeight="1" x14ac:dyDescent="0.25">
      <c r="A105" s="57" t="s">
        <v>17</v>
      </c>
      <c r="B105" s="115"/>
      <c r="C105" s="115"/>
      <c r="D105" s="59"/>
      <c r="E105" s="59"/>
      <c r="F105" s="59"/>
      <c r="G105" s="61">
        <f>+G95+G104</f>
        <v>0</v>
      </c>
      <c r="H105" s="102"/>
      <c r="I105" s="63">
        <f>I95+I104</f>
        <v>0</v>
      </c>
      <c r="J105" s="145"/>
      <c r="K105" s="65">
        <f>+K95+K104</f>
        <v>0</v>
      </c>
      <c r="L105" s="64">
        <f>+L95+L104</f>
        <v>0</v>
      </c>
      <c r="M105" s="56"/>
      <c r="N105" s="64"/>
    </row>
    <row r="106" spans="1:14" ht="11.25" customHeight="1" x14ac:dyDescent="0.25">
      <c r="B106"/>
      <c r="D106" s="51"/>
      <c r="E106" s="51"/>
      <c r="F106" s="51"/>
      <c r="G106" s="67"/>
      <c r="H106" s="53"/>
      <c r="I106" s="53"/>
      <c r="J106" s="145"/>
      <c r="K106" s="68"/>
      <c r="L106" s="32"/>
      <c r="M106" s="32"/>
      <c r="N106" s="51"/>
    </row>
    <row r="107" spans="1:14" ht="8.25" customHeight="1" x14ac:dyDescent="0.25">
      <c r="A107" s="69">
        <v>71</v>
      </c>
      <c r="B107" s="16">
        <v>45825</v>
      </c>
      <c r="C107" s="70" t="s">
        <v>37</v>
      </c>
      <c r="D107" s="34"/>
      <c r="E107" s="146"/>
      <c r="F107" s="148"/>
      <c r="G107" s="71"/>
      <c r="H107" s="29"/>
      <c r="I107" s="36">
        <f>+G107*H107</f>
        <v>0</v>
      </c>
      <c r="J107" s="145"/>
      <c r="K107" s="72"/>
      <c r="L107" s="73"/>
      <c r="M107" s="74"/>
      <c r="N107" s="26"/>
    </row>
    <row r="108" spans="1:14" ht="13.5" customHeight="1" x14ac:dyDescent="0.25">
      <c r="A108" s="69">
        <v>72</v>
      </c>
      <c r="B108" s="16">
        <v>45826</v>
      </c>
      <c r="C108" s="17"/>
      <c r="D108" s="34"/>
      <c r="E108" s="146"/>
      <c r="F108" s="34"/>
      <c r="G108" s="35"/>
      <c r="H108" s="36"/>
      <c r="I108" s="36">
        <f t="shared" ref="I108:I113" si="10">+G108*H108</f>
        <v>0</v>
      </c>
      <c r="J108" s="145"/>
      <c r="K108" s="75"/>
      <c r="L108" s="75"/>
      <c r="M108" s="74"/>
      <c r="N108" s="34"/>
    </row>
    <row r="109" spans="1:14" ht="11.25" customHeight="1" x14ac:dyDescent="0.25">
      <c r="A109" s="69">
        <v>73</v>
      </c>
      <c r="B109" s="16">
        <v>45827</v>
      </c>
      <c r="C109" s="17"/>
      <c r="D109" s="38"/>
      <c r="E109" s="38"/>
      <c r="F109" s="34"/>
      <c r="G109" s="35"/>
      <c r="H109" s="36"/>
      <c r="I109" s="36">
        <f t="shared" si="10"/>
        <v>0</v>
      </c>
      <c r="J109" s="145"/>
      <c r="K109" s="75"/>
      <c r="L109" s="75"/>
      <c r="M109" s="74"/>
      <c r="N109" s="34"/>
    </row>
    <row r="110" spans="1:14" ht="11.25" customHeight="1" x14ac:dyDescent="0.25">
      <c r="A110" s="69">
        <v>74</v>
      </c>
      <c r="B110" s="16">
        <v>45828</v>
      </c>
      <c r="C110" s="17"/>
      <c r="D110" s="34"/>
      <c r="E110" s="146"/>
      <c r="F110" s="34"/>
      <c r="G110" s="35"/>
      <c r="H110" s="36"/>
      <c r="I110" s="36">
        <f t="shared" si="10"/>
        <v>0</v>
      </c>
      <c r="J110" s="145"/>
      <c r="K110" s="75"/>
      <c r="L110" s="112"/>
      <c r="M110" s="74"/>
      <c r="N110" s="34"/>
    </row>
    <row r="111" spans="1:14" ht="11.25" customHeight="1" x14ac:dyDescent="0.25">
      <c r="A111" s="69">
        <v>75</v>
      </c>
      <c r="B111" s="16">
        <v>45829</v>
      </c>
      <c r="C111" s="17"/>
      <c r="D111" s="38"/>
      <c r="E111" s="38"/>
      <c r="F111" s="34"/>
      <c r="G111" s="35"/>
      <c r="H111" s="36"/>
      <c r="I111" s="36">
        <f t="shared" si="10"/>
        <v>0</v>
      </c>
      <c r="J111" s="145"/>
      <c r="K111" s="75"/>
      <c r="L111" s="75"/>
      <c r="M111" s="74"/>
      <c r="N111" s="34"/>
    </row>
    <row r="112" spans="1:14" ht="11.25" customHeight="1" x14ac:dyDescent="0.25">
      <c r="A112" s="69">
        <v>76</v>
      </c>
      <c r="B112" s="16">
        <v>45830</v>
      </c>
      <c r="C112" s="17"/>
      <c r="D112" s="34"/>
      <c r="E112" s="146"/>
      <c r="F112" s="34"/>
      <c r="G112" s="35"/>
      <c r="H112" s="36"/>
      <c r="I112" s="36">
        <f t="shared" si="10"/>
        <v>0</v>
      </c>
      <c r="J112" s="145"/>
      <c r="K112" s="75"/>
      <c r="L112" s="75"/>
      <c r="M112" s="74"/>
      <c r="N112" s="34"/>
    </row>
    <row r="113" spans="1:14" ht="11.25" customHeight="1" x14ac:dyDescent="0.25">
      <c r="A113" s="69">
        <v>77</v>
      </c>
      <c r="B113" s="16">
        <v>45831</v>
      </c>
      <c r="C113" s="42"/>
      <c r="D113" s="34"/>
      <c r="E113" s="26"/>
      <c r="F113" s="34"/>
      <c r="G113" s="35"/>
      <c r="H113" s="36"/>
      <c r="I113" s="36">
        <f t="shared" si="10"/>
        <v>0</v>
      </c>
      <c r="J113" s="145"/>
      <c r="K113" s="100"/>
      <c r="L113" s="100"/>
      <c r="M113" s="74"/>
      <c r="N113" s="34"/>
    </row>
    <row r="114" spans="1:14" ht="11.25" customHeight="1" x14ac:dyDescent="0.25">
      <c r="A114" s="48" t="s">
        <v>38</v>
      </c>
      <c r="B114" s="16"/>
      <c r="C114" s="114"/>
      <c r="D114" s="51"/>
      <c r="E114" s="51"/>
      <c r="F114" s="51"/>
      <c r="G114" s="52">
        <f>SUM(G107:G113)</f>
        <v>0</v>
      </c>
      <c r="H114" s="54"/>
      <c r="I114" s="54">
        <f>SUM(I107:I113)</f>
        <v>0</v>
      </c>
      <c r="J114" s="145"/>
      <c r="K114" s="55">
        <f>+SUM(K107:K113)</f>
        <v>0</v>
      </c>
      <c r="L114" s="11">
        <f>+SUM(L107:L113)</f>
        <v>0</v>
      </c>
      <c r="M114" s="56"/>
      <c r="N114" s="11"/>
    </row>
    <row r="115" spans="1:14" ht="11.25" customHeight="1" x14ac:dyDescent="0.25">
      <c r="A115" s="57" t="s">
        <v>17</v>
      </c>
      <c r="B115" s="115"/>
      <c r="C115" s="115"/>
      <c r="D115" s="59"/>
      <c r="E115" s="59"/>
      <c r="F115" s="59"/>
      <c r="G115" s="61">
        <f>+G105+G114</f>
        <v>0</v>
      </c>
      <c r="H115" s="102"/>
      <c r="I115" s="63">
        <f>I105+I114</f>
        <v>0</v>
      </c>
      <c r="J115" s="145"/>
      <c r="K115" s="65">
        <f>+K105+K114</f>
        <v>0</v>
      </c>
      <c r="L115" s="64">
        <f>+L105+L114</f>
        <v>0</v>
      </c>
      <c r="M115" s="56"/>
      <c r="N115" s="64"/>
    </row>
    <row r="116" spans="1:14" ht="11.25" customHeight="1" x14ac:dyDescent="0.25">
      <c r="B116"/>
      <c r="D116" s="51"/>
      <c r="E116" s="149"/>
      <c r="F116" s="149"/>
      <c r="G116" s="150"/>
      <c r="H116" s="151"/>
      <c r="I116" s="80"/>
      <c r="J116" s="145"/>
      <c r="K116" s="68"/>
      <c r="L116" s="32"/>
      <c r="M116" s="32"/>
      <c r="N116" s="51"/>
    </row>
    <row r="117" spans="1:14" ht="8.25" customHeight="1" x14ac:dyDescent="0.25">
      <c r="A117" s="69">
        <v>78</v>
      </c>
      <c r="B117" s="16">
        <v>45832</v>
      </c>
      <c r="C117" s="70" t="s">
        <v>39</v>
      </c>
      <c r="D117" s="26"/>
      <c r="E117" s="152"/>
      <c r="F117" s="18"/>
      <c r="G117" s="20"/>
      <c r="H117" s="21"/>
      <c r="I117" s="21">
        <f>+G117*H117</f>
        <v>0</v>
      </c>
      <c r="J117" s="145"/>
      <c r="K117" s="153"/>
      <c r="L117" s="73"/>
      <c r="M117" s="74"/>
      <c r="N117" s="26"/>
    </row>
    <row r="118" spans="1:14" ht="11.25" customHeight="1" x14ac:dyDescent="0.25">
      <c r="A118" s="69">
        <v>79</v>
      </c>
      <c r="B118" s="16">
        <v>45833</v>
      </c>
      <c r="C118" s="17"/>
      <c r="D118" s="33"/>
      <c r="E118" s="33"/>
      <c r="F118" s="34"/>
      <c r="G118" s="35"/>
      <c r="H118" s="36"/>
      <c r="I118" s="36">
        <f t="shared" ref="I118:I123" si="11">+G118*H118</f>
        <v>0</v>
      </c>
      <c r="J118" s="145"/>
      <c r="K118" s="75"/>
      <c r="L118" s="75"/>
      <c r="M118" s="74"/>
      <c r="N118" s="26"/>
    </row>
    <row r="119" spans="1:14" ht="11.25" customHeight="1" x14ac:dyDescent="0.25">
      <c r="A119" s="69">
        <v>80</v>
      </c>
      <c r="B119" s="16">
        <v>45834</v>
      </c>
      <c r="C119" s="17"/>
      <c r="D119" s="38"/>
      <c r="E119" s="38"/>
      <c r="F119" s="34"/>
      <c r="G119" s="35"/>
      <c r="H119" s="36"/>
      <c r="I119" s="36">
        <f t="shared" si="11"/>
        <v>0</v>
      </c>
      <c r="J119" s="145"/>
      <c r="K119" s="153"/>
      <c r="L119" s="153"/>
      <c r="M119" s="74"/>
      <c r="N119" s="34"/>
    </row>
    <row r="120" spans="1:14" ht="11.25" customHeight="1" x14ac:dyDescent="0.25">
      <c r="A120" s="69">
        <v>81</v>
      </c>
      <c r="B120" s="16">
        <v>45835</v>
      </c>
      <c r="C120" s="17"/>
      <c r="D120" s="34"/>
      <c r="E120" s="26"/>
      <c r="F120" s="34"/>
      <c r="G120" s="35"/>
      <c r="H120" s="36"/>
      <c r="I120" s="36">
        <f t="shared" si="11"/>
        <v>0</v>
      </c>
      <c r="J120" s="145"/>
      <c r="K120" s="75"/>
      <c r="L120" s="75"/>
      <c r="M120" s="74"/>
      <c r="N120" s="34"/>
    </row>
    <row r="121" spans="1:14" ht="11.25" customHeight="1" x14ac:dyDescent="0.25">
      <c r="A121" s="69">
        <v>82</v>
      </c>
      <c r="B121" s="16">
        <v>45836</v>
      </c>
      <c r="C121" s="17"/>
      <c r="D121" s="34"/>
      <c r="E121" s="26"/>
      <c r="F121" s="34"/>
      <c r="G121" s="35"/>
      <c r="H121" s="36"/>
      <c r="I121" s="36">
        <f t="shared" si="11"/>
        <v>0</v>
      </c>
      <c r="J121" s="145"/>
      <c r="K121" s="75"/>
      <c r="L121" s="75"/>
      <c r="M121" s="74"/>
      <c r="N121" s="34"/>
    </row>
    <row r="122" spans="1:14" ht="11.25" customHeight="1" x14ac:dyDescent="0.25">
      <c r="A122" s="69">
        <v>83</v>
      </c>
      <c r="B122" s="16">
        <v>45837</v>
      </c>
      <c r="C122" s="17"/>
      <c r="D122" s="33"/>
      <c r="E122" s="33"/>
      <c r="F122" s="34"/>
      <c r="G122" s="35"/>
      <c r="H122" s="36"/>
      <c r="I122" s="36">
        <f t="shared" si="11"/>
        <v>0</v>
      </c>
      <c r="J122" s="145"/>
      <c r="K122" s="75"/>
      <c r="L122" s="75"/>
      <c r="M122" s="74"/>
      <c r="N122" s="34"/>
    </row>
    <row r="123" spans="1:14" ht="11.25" customHeight="1" x14ac:dyDescent="0.25">
      <c r="A123" s="69">
        <v>84</v>
      </c>
      <c r="B123" s="16">
        <v>45838</v>
      </c>
      <c r="C123" s="42"/>
      <c r="D123" s="154"/>
      <c r="E123" s="136"/>
      <c r="F123" s="154"/>
      <c r="G123" s="155"/>
      <c r="H123" s="156"/>
      <c r="I123" s="29">
        <f t="shared" si="11"/>
        <v>0</v>
      </c>
      <c r="J123" s="145"/>
      <c r="K123" s="100"/>
      <c r="L123" s="100"/>
      <c r="M123" s="74"/>
      <c r="N123" s="34"/>
    </row>
    <row r="124" spans="1:14" ht="11.25" customHeight="1" x14ac:dyDescent="0.25">
      <c r="A124" s="48" t="s">
        <v>40</v>
      </c>
      <c r="B124" s="114"/>
      <c r="C124" s="114"/>
      <c r="D124" s="51"/>
      <c r="E124" s="51"/>
      <c r="F124" s="51"/>
      <c r="G124" s="52">
        <f>SUM(G117:G123)</f>
        <v>0</v>
      </c>
      <c r="H124" s="157"/>
      <c r="I124" s="21">
        <f>SUM(I117:I123)</f>
        <v>0</v>
      </c>
      <c r="J124" s="145"/>
      <c r="K124" s="55">
        <f>+SUM(K117:K123)</f>
        <v>0</v>
      </c>
      <c r="L124" s="11">
        <f>+SUM(L117:L123)</f>
        <v>0</v>
      </c>
      <c r="M124" s="56"/>
      <c r="N124" s="11"/>
    </row>
    <row r="125" spans="1:14" ht="11.25" customHeight="1" x14ac:dyDescent="0.25">
      <c r="A125" s="57" t="s">
        <v>17</v>
      </c>
      <c r="B125" s="115"/>
      <c r="C125" s="115"/>
      <c r="D125" s="59"/>
      <c r="E125" s="59"/>
      <c r="F125" s="59"/>
      <c r="G125" s="61">
        <f>+G115+G124</f>
        <v>0</v>
      </c>
      <c r="H125" s="158"/>
      <c r="I125" s="63">
        <f>I115+I124</f>
        <v>0</v>
      </c>
      <c r="J125" s="145"/>
      <c r="K125" s="65">
        <f>+K115+K124</f>
        <v>0</v>
      </c>
      <c r="L125" s="64">
        <f>+L115+L124</f>
        <v>0</v>
      </c>
      <c r="M125" s="56"/>
      <c r="N125" s="64"/>
    </row>
    <row r="126" spans="1:14" ht="11.25" customHeight="1" x14ac:dyDescent="0.25">
      <c r="B126"/>
      <c r="D126" s="51"/>
      <c r="E126" s="51"/>
      <c r="F126" s="51"/>
      <c r="G126" s="67"/>
      <c r="H126" s="159"/>
      <c r="I126" s="53"/>
      <c r="J126" s="145"/>
      <c r="K126" s="68"/>
      <c r="L126" s="32"/>
      <c r="M126" s="32"/>
      <c r="N126" s="51"/>
    </row>
    <row r="127" spans="1:14" ht="8.25" customHeight="1" x14ac:dyDescent="0.25">
      <c r="A127" s="69">
        <v>85</v>
      </c>
      <c r="B127" s="16">
        <v>45839</v>
      </c>
      <c r="C127" s="70" t="s">
        <v>41</v>
      </c>
      <c r="D127" s="38"/>
      <c r="E127" s="38"/>
      <c r="F127" s="26"/>
      <c r="G127" s="35"/>
      <c r="H127" s="36"/>
      <c r="I127" s="29">
        <f t="shared" ref="I127:I133" si="12">+G127*H127</f>
        <v>0</v>
      </c>
      <c r="J127" s="145"/>
      <c r="K127" s="72"/>
      <c r="L127" s="73"/>
      <c r="M127" s="74"/>
      <c r="N127" s="160"/>
    </row>
    <row r="128" spans="1:14" ht="11.25" customHeight="1" x14ac:dyDescent="0.25">
      <c r="A128" s="75">
        <v>86</v>
      </c>
      <c r="B128" s="16">
        <v>45840</v>
      </c>
      <c r="C128" s="161"/>
      <c r="D128" s="34"/>
      <c r="E128" s="26"/>
      <c r="F128" s="34"/>
      <c r="G128" s="35"/>
      <c r="H128" s="96"/>
      <c r="I128" s="29">
        <f t="shared" si="12"/>
        <v>0</v>
      </c>
      <c r="J128" s="145"/>
      <c r="K128" s="75"/>
      <c r="L128" s="75"/>
      <c r="M128" s="74"/>
      <c r="N128" s="160"/>
    </row>
    <row r="129" spans="1:50" s="134" customFormat="1" ht="13.5" customHeight="1" x14ac:dyDescent="0.25">
      <c r="A129" s="15">
        <v>87</v>
      </c>
      <c r="B129" s="16">
        <v>45841</v>
      </c>
      <c r="C129" s="17"/>
      <c r="D129" s="33"/>
      <c r="E129" s="33"/>
      <c r="F129" s="34"/>
      <c r="G129" s="35"/>
      <c r="H129" s="162"/>
      <c r="I129" s="29">
        <f t="shared" si="12"/>
        <v>0</v>
      </c>
      <c r="J129" s="145"/>
      <c r="K129" s="75"/>
      <c r="L129" s="75"/>
      <c r="M129" s="74"/>
      <c r="N129" s="34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0" ht="11.25" customHeight="1" x14ac:dyDescent="0.25">
      <c r="A130" s="15">
        <v>88</v>
      </c>
      <c r="B130" s="16">
        <v>45842</v>
      </c>
      <c r="C130" s="17"/>
      <c r="D130" s="38"/>
      <c r="E130" s="38"/>
      <c r="F130" s="34"/>
      <c r="G130" s="35"/>
      <c r="H130" s="36"/>
      <c r="I130" s="29">
        <f>+G130*H130</f>
        <v>0</v>
      </c>
      <c r="J130" s="145"/>
      <c r="K130" s="75"/>
      <c r="L130" s="75"/>
      <c r="M130" s="74"/>
      <c r="N130" s="34"/>
    </row>
    <row r="131" spans="1:50" ht="11.25" customHeight="1" x14ac:dyDescent="0.25">
      <c r="A131" s="15">
        <v>89</v>
      </c>
      <c r="B131" s="16">
        <v>45843</v>
      </c>
      <c r="C131" s="17"/>
      <c r="D131" s="26"/>
      <c r="E131" s="26"/>
      <c r="F131" s="34"/>
      <c r="G131" s="35"/>
      <c r="H131" s="163"/>
      <c r="I131" s="29">
        <f t="shared" si="12"/>
        <v>0</v>
      </c>
      <c r="J131" s="145"/>
      <c r="K131" s="75"/>
      <c r="L131" s="75"/>
      <c r="M131" s="74"/>
      <c r="N131" s="34"/>
    </row>
    <row r="132" spans="1:50" ht="11.25" customHeight="1" x14ac:dyDescent="0.25">
      <c r="A132" s="15">
        <v>90</v>
      </c>
      <c r="B132" s="16">
        <v>45844</v>
      </c>
      <c r="C132" s="17"/>
      <c r="D132" s="38"/>
      <c r="E132" s="38"/>
      <c r="F132" s="34"/>
      <c r="G132" s="35"/>
      <c r="H132" s="36"/>
      <c r="I132" s="29">
        <f>+G132*H132</f>
        <v>0</v>
      </c>
      <c r="J132" s="145"/>
      <c r="K132" s="15"/>
      <c r="L132" s="15"/>
      <c r="M132" s="32"/>
      <c r="N132" s="38"/>
    </row>
    <row r="133" spans="1:50" ht="11.25" customHeight="1" x14ac:dyDescent="0.25">
      <c r="A133" s="41">
        <v>91</v>
      </c>
      <c r="B133" s="16">
        <v>45845</v>
      </c>
      <c r="C133" s="42"/>
      <c r="D133" s="26"/>
      <c r="E133" s="26"/>
      <c r="F133" s="34"/>
      <c r="G133" s="35"/>
      <c r="H133" s="96"/>
      <c r="I133" s="29">
        <f t="shared" si="12"/>
        <v>0</v>
      </c>
      <c r="J133" s="145"/>
      <c r="K133" s="47"/>
      <c r="L133" s="47"/>
      <c r="M133" s="32"/>
      <c r="N133" s="38"/>
    </row>
    <row r="134" spans="1:50" ht="11.25" customHeight="1" x14ac:dyDescent="0.25">
      <c r="A134" s="48" t="s">
        <v>42</v>
      </c>
      <c r="B134" s="114"/>
      <c r="C134" s="114"/>
      <c r="D134" s="51"/>
      <c r="E134" s="51"/>
      <c r="F134" s="51"/>
      <c r="G134" s="52">
        <f>+G132+G129</f>
        <v>0</v>
      </c>
      <c r="H134" s="54"/>
      <c r="I134" s="54">
        <f>SUM(I127:I133)</f>
        <v>0</v>
      </c>
      <c r="J134" s="145"/>
      <c r="K134" s="55">
        <f>+SUM(K127:K133)</f>
        <v>0</v>
      </c>
      <c r="L134" s="11">
        <f>+SUM(L127:L133)</f>
        <v>0</v>
      </c>
      <c r="M134" s="56"/>
      <c r="N134" s="11"/>
    </row>
    <row r="135" spans="1:50" ht="11.25" customHeight="1" x14ac:dyDescent="0.25">
      <c r="A135" s="57" t="s">
        <v>17</v>
      </c>
      <c r="B135" s="115"/>
      <c r="C135" s="115"/>
      <c r="D135" s="59"/>
      <c r="E135" s="59"/>
      <c r="F135" s="59"/>
      <c r="G135" s="61">
        <f>+G125+G134</f>
        <v>0</v>
      </c>
      <c r="H135" s="102"/>
      <c r="I135" s="63">
        <f>I125+I134</f>
        <v>0</v>
      </c>
      <c r="J135" s="145"/>
      <c r="K135" s="65">
        <f>+K125+K134</f>
        <v>0</v>
      </c>
      <c r="L135" s="64">
        <f>+L125+L134</f>
        <v>0</v>
      </c>
      <c r="M135" s="56"/>
      <c r="N135" s="64"/>
    </row>
    <row r="136" spans="1:50" ht="11.25" customHeight="1" x14ac:dyDescent="0.25">
      <c r="B136"/>
      <c r="D136" s="51"/>
      <c r="E136" s="51"/>
      <c r="F136" s="51"/>
      <c r="G136" s="67"/>
      <c r="H136" s="53"/>
      <c r="I136" s="53"/>
      <c r="J136" s="145"/>
      <c r="K136" s="68"/>
      <c r="L136" s="32"/>
      <c r="M136" s="32"/>
      <c r="N136" s="51"/>
    </row>
    <row r="137" spans="1:50" ht="8.25" customHeight="1" x14ac:dyDescent="0.25">
      <c r="A137" s="69">
        <v>92</v>
      </c>
      <c r="B137" s="16">
        <v>45846</v>
      </c>
      <c r="C137" s="70" t="s">
        <v>43</v>
      </c>
      <c r="D137" s="34"/>
      <c r="E137" s="146"/>
      <c r="F137" s="18"/>
      <c r="G137" s="20"/>
      <c r="H137" s="21"/>
      <c r="I137" s="21">
        <f t="shared" ref="I137:I143" si="13">+G137*H137</f>
        <v>0</v>
      </c>
      <c r="J137" s="145"/>
      <c r="K137" s="72"/>
      <c r="L137" s="73"/>
      <c r="M137" s="74"/>
      <c r="N137" s="18"/>
    </row>
    <row r="138" spans="1:50" ht="11.25" customHeight="1" x14ac:dyDescent="0.25">
      <c r="A138" s="15">
        <v>93</v>
      </c>
      <c r="B138" s="16">
        <v>45847</v>
      </c>
      <c r="C138" s="17"/>
      <c r="D138" s="34"/>
      <c r="E138" s="26"/>
      <c r="F138" s="34"/>
      <c r="G138" s="35"/>
      <c r="H138" s="36"/>
      <c r="I138" s="36">
        <f t="shared" si="13"/>
        <v>0</v>
      </c>
      <c r="J138" s="145"/>
      <c r="K138" s="75"/>
      <c r="L138" s="75"/>
      <c r="M138" s="74"/>
      <c r="N138" s="34"/>
      <c r="Q138" s="76"/>
    </row>
    <row r="139" spans="1:50" ht="12" customHeight="1" x14ac:dyDescent="0.25">
      <c r="A139" s="15">
        <v>94</v>
      </c>
      <c r="B139" s="16">
        <v>45848</v>
      </c>
      <c r="C139" s="17"/>
      <c r="D139" s="38"/>
      <c r="E139" s="38"/>
      <c r="F139" s="34"/>
      <c r="G139" s="35"/>
      <c r="H139" s="36"/>
      <c r="I139" s="36">
        <f t="shared" si="13"/>
        <v>0</v>
      </c>
      <c r="J139" s="145"/>
      <c r="K139" s="75"/>
      <c r="L139" s="75"/>
      <c r="M139" s="74"/>
      <c r="N139" s="34"/>
    </row>
    <row r="140" spans="1:50" ht="11.25" customHeight="1" x14ac:dyDescent="0.25">
      <c r="A140" s="15">
        <v>95</v>
      </c>
      <c r="B140" s="16">
        <v>45849</v>
      </c>
      <c r="C140" s="17"/>
      <c r="D140" s="26"/>
      <c r="E140" s="26"/>
      <c r="F140" s="34"/>
      <c r="G140" s="35"/>
      <c r="H140" s="36"/>
      <c r="I140" s="36">
        <f t="shared" si="13"/>
        <v>0</v>
      </c>
      <c r="J140" s="145"/>
      <c r="K140" s="75"/>
      <c r="L140" s="75"/>
      <c r="M140" s="74"/>
      <c r="N140" s="34"/>
    </row>
    <row r="141" spans="1:50" ht="11.25" customHeight="1" x14ac:dyDescent="0.25">
      <c r="A141" s="15">
        <v>96</v>
      </c>
      <c r="B141" s="16">
        <v>45850</v>
      </c>
      <c r="C141" s="17"/>
      <c r="D141" s="34"/>
      <c r="E141" s="26"/>
      <c r="F141" s="34"/>
      <c r="G141" s="35"/>
      <c r="H141" s="36"/>
      <c r="I141" s="36">
        <f t="shared" si="13"/>
        <v>0</v>
      </c>
      <c r="J141" s="145"/>
      <c r="K141" s="75"/>
      <c r="L141" s="75"/>
      <c r="M141" s="74"/>
      <c r="N141" s="34"/>
    </row>
    <row r="142" spans="1:50" ht="11.25" customHeight="1" x14ac:dyDescent="0.25">
      <c r="A142" s="15">
        <v>97</v>
      </c>
      <c r="B142" s="16">
        <v>45851</v>
      </c>
      <c r="C142" s="17"/>
      <c r="D142" s="34"/>
      <c r="E142" s="26"/>
      <c r="F142" s="34"/>
      <c r="G142" s="35"/>
      <c r="H142" s="36"/>
      <c r="I142" s="36">
        <f t="shared" si="13"/>
        <v>0</v>
      </c>
      <c r="J142" s="145"/>
      <c r="K142" s="75"/>
      <c r="L142" s="75"/>
      <c r="M142" s="74"/>
      <c r="N142" s="34"/>
    </row>
    <row r="143" spans="1:50" ht="11.25" customHeight="1" x14ac:dyDescent="0.25">
      <c r="A143" s="41">
        <v>98</v>
      </c>
      <c r="B143" s="16">
        <v>45852</v>
      </c>
      <c r="C143" s="42"/>
      <c r="D143" s="34"/>
      <c r="E143" s="26"/>
      <c r="F143" s="34"/>
      <c r="G143" s="35"/>
      <c r="H143" s="36"/>
      <c r="I143" s="29">
        <f t="shared" si="13"/>
        <v>0</v>
      </c>
      <c r="J143" s="145"/>
      <c r="K143" s="100"/>
      <c r="L143" s="100"/>
      <c r="M143" s="74"/>
      <c r="N143" s="34"/>
    </row>
    <row r="144" spans="1:50" ht="11.25" customHeight="1" x14ac:dyDescent="0.25">
      <c r="A144" s="48" t="s">
        <v>44</v>
      </c>
      <c r="B144" s="114"/>
      <c r="C144" s="114"/>
      <c r="D144" s="51"/>
      <c r="E144" s="51"/>
      <c r="F144" s="51"/>
      <c r="G144" s="52">
        <f>SUM(G137:G143)</f>
        <v>0</v>
      </c>
      <c r="H144" s="54"/>
      <c r="I144" s="54">
        <f>SUM(I137:I143)</f>
        <v>0</v>
      </c>
      <c r="J144" s="145"/>
      <c r="K144" s="55">
        <f>+SUM(K137:K143)</f>
        <v>0</v>
      </c>
      <c r="L144" s="11">
        <f>+SUM(L137:L143)</f>
        <v>0</v>
      </c>
      <c r="M144" s="56"/>
      <c r="N144" s="11"/>
    </row>
    <row r="145" spans="1:14" ht="11.25" customHeight="1" x14ac:dyDescent="0.25">
      <c r="A145" s="57" t="s">
        <v>17</v>
      </c>
      <c r="B145" s="115"/>
      <c r="C145" s="115"/>
      <c r="D145" s="59"/>
      <c r="E145" s="59"/>
      <c r="F145" s="59"/>
      <c r="G145" s="61">
        <f>+G135+G144</f>
        <v>0</v>
      </c>
      <c r="H145" s="102"/>
      <c r="I145" s="63">
        <f>I135+I144</f>
        <v>0</v>
      </c>
      <c r="J145" s="145"/>
      <c r="K145" s="65">
        <f>+K135+K144</f>
        <v>0</v>
      </c>
      <c r="L145" s="64">
        <f>+L135+L144</f>
        <v>0</v>
      </c>
      <c r="M145" s="56"/>
      <c r="N145" s="64"/>
    </row>
    <row r="146" spans="1:14" ht="11.25" customHeight="1" x14ac:dyDescent="0.25">
      <c r="B146"/>
      <c r="D146" s="51"/>
      <c r="E146" s="51"/>
      <c r="F146" s="51"/>
      <c r="G146" s="79"/>
      <c r="H146" s="80"/>
      <c r="I146" s="80"/>
      <c r="J146" s="145"/>
      <c r="K146" s="68"/>
      <c r="L146" s="32"/>
      <c r="M146" s="32"/>
      <c r="N146" s="78"/>
    </row>
    <row r="147" spans="1:14" ht="8.25" customHeight="1" x14ac:dyDescent="0.25">
      <c r="A147" s="69">
        <v>99</v>
      </c>
      <c r="B147" s="16">
        <v>45853</v>
      </c>
      <c r="C147" s="70" t="s">
        <v>45</v>
      </c>
      <c r="D147" s="38"/>
      <c r="E147" s="38"/>
      <c r="F147" s="26"/>
      <c r="G147" s="20"/>
      <c r="H147" s="21"/>
      <c r="I147" s="21">
        <f>+G147*H147</f>
        <v>0</v>
      </c>
      <c r="J147" s="145"/>
      <c r="K147" s="72"/>
      <c r="L147" s="73"/>
      <c r="M147" s="74"/>
      <c r="N147" s="24"/>
    </row>
    <row r="148" spans="1:14" ht="11.25" customHeight="1" x14ac:dyDescent="0.25">
      <c r="A148" s="15">
        <v>100</v>
      </c>
      <c r="B148" s="16">
        <v>45854</v>
      </c>
      <c r="C148" s="17"/>
      <c r="D148" s="38"/>
      <c r="E148" s="164"/>
      <c r="F148" s="26"/>
      <c r="G148" s="35"/>
      <c r="H148" s="36"/>
      <c r="I148" s="36">
        <f t="shared" ref="I148:I153" si="14">+G148*H148</f>
        <v>0</v>
      </c>
      <c r="J148" s="145"/>
      <c r="K148" s="75"/>
      <c r="L148" s="75"/>
      <c r="M148" s="74"/>
      <c r="N148" s="34"/>
    </row>
    <row r="149" spans="1:14" ht="11.25" customHeight="1" x14ac:dyDescent="0.25">
      <c r="A149" s="15">
        <v>101</v>
      </c>
      <c r="B149" s="16">
        <v>45855</v>
      </c>
      <c r="C149" s="17"/>
      <c r="D149" s="38"/>
      <c r="E149" s="26"/>
      <c r="F149" s="34"/>
      <c r="G149" s="35"/>
      <c r="H149" s="36"/>
      <c r="I149" s="36">
        <f t="shared" si="14"/>
        <v>0</v>
      </c>
      <c r="J149" s="145"/>
      <c r="K149" s="75"/>
      <c r="L149" s="75"/>
      <c r="M149" s="74"/>
      <c r="N149" s="34"/>
    </row>
    <row r="150" spans="1:14" ht="11.25" customHeight="1" x14ac:dyDescent="0.25">
      <c r="A150" s="15">
        <v>102</v>
      </c>
      <c r="B150" s="16">
        <v>45856</v>
      </c>
      <c r="C150" s="17"/>
      <c r="D150" s="38"/>
      <c r="E150" s="33"/>
      <c r="F150" s="34"/>
      <c r="G150" s="35"/>
      <c r="H150" s="36"/>
      <c r="I150" s="36">
        <f t="shared" si="14"/>
        <v>0</v>
      </c>
      <c r="J150" s="145"/>
      <c r="K150" s="75"/>
      <c r="L150" s="75"/>
      <c r="M150" s="74"/>
      <c r="N150" s="34"/>
    </row>
    <row r="151" spans="1:14" ht="11.25" customHeight="1" x14ac:dyDescent="0.25">
      <c r="A151" s="15">
        <v>103</v>
      </c>
      <c r="B151" s="16">
        <v>45857</v>
      </c>
      <c r="C151" s="17"/>
      <c r="D151" s="38"/>
      <c r="E151" s="38"/>
      <c r="F151" s="34"/>
      <c r="G151" s="35"/>
      <c r="H151" s="36"/>
      <c r="I151" s="36">
        <f t="shared" si="14"/>
        <v>0</v>
      </c>
      <c r="J151" s="145"/>
      <c r="K151" s="75"/>
      <c r="L151" s="75"/>
      <c r="M151" s="74"/>
      <c r="N151" s="34"/>
    </row>
    <row r="152" spans="1:14" ht="11.25" customHeight="1" x14ac:dyDescent="0.25">
      <c r="A152" s="15">
        <v>104</v>
      </c>
      <c r="B152" s="16">
        <v>45858</v>
      </c>
      <c r="C152" s="17"/>
      <c r="D152" s="26"/>
      <c r="E152" s="26"/>
      <c r="F152" s="34"/>
      <c r="G152" s="35"/>
      <c r="H152" s="36"/>
      <c r="I152" s="36">
        <f t="shared" si="14"/>
        <v>0</v>
      </c>
      <c r="J152" s="145"/>
      <c r="K152" s="75"/>
      <c r="L152" s="75"/>
      <c r="M152" s="74"/>
      <c r="N152" s="34"/>
    </row>
    <row r="153" spans="1:14" ht="11.25" customHeight="1" x14ac:dyDescent="0.25">
      <c r="A153" s="41">
        <v>105</v>
      </c>
      <c r="B153" s="16">
        <v>45859</v>
      </c>
      <c r="C153" s="42"/>
      <c r="D153" s="38"/>
      <c r="E153" s="164"/>
      <c r="F153" s="43"/>
      <c r="G153" s="165"/>
      <c r="H153" s="118"/>
      <c r="I153" s="29">
        <f t="shared" si="14"/>
        <v>0</v>
      </c>
      <c r="J153" s="145"/>
      <c r="K153" s="47"/>
      <c r="L153" s="47"/>
      <c r="M153" s="32"/>
      <c r="N153" s="38"/>
    </row>
    <row r="154" spans="1:14" ht="11.25" customHeight="1" x14ac:dyDescent="0.25">
      <c r="A154" s="48" t="s">
        <v>46</v>
      </c>
      <c r="B154" s="114"/>
      <c r="C154" s="114"/>
      <c r="D154" s="51"/>
      <c r="E154" s="51"/>
      <c r="F154" s="166"/>
      <c r="G154" s="52">
        <f>SUM(G147:G153)</f>
        <v>0</v>
      </c>
      <c r="H154" s="54"/>
      <c r="I154" s="54">
        <f>SUM(I147:I153)</f>
        <v>0</v>
      </c>
      <c r="J154" s="145"/>
      <c r="K154" s="55">
        <f>+SUM(K147:K153)</f>
        <v>0</v>
      </c>
      <c r="L154" s="11">
        <f>+SUM(L147:L153)</f>
        <v>0</v>
      </c>
      <c r="M154" s="56"/>
      <c r="N154" s="11"/>
    </row>
    <row r="155" spans="1:14" ht="11.25" customHeight="1" x14ac:dyDescent="0.25">
      <c r="A155" s="57" t="s">
        <v>17</v>
      </c>
      <c r="B155" s="115"/>
      <c r="C155" s="115"/>
      <c r="D155" s="59"/>
      <c r="E155" s="59"/>
      <c r="F155" s="59"/>
      <c r="G155" s="61">
        <f>+G145+G154</f>
        <v>0</v>
      </c>
      <c r="H155" s="102"/>
      <c r="I155" s="63">
        <f>I145+I154</f>
        <v>0</v>
      </c>
      <c r="J155" s="145"/>
      <c r="K155" s="65">
        <f>+K145+K154</f>
        <v>0</v>
      </c>
      <c r="L155" s="64">
        <f>+L145+L154</f>
        <v>0</v>
      </c>
      <c r="M155" s="56"/>
      <c r="N155" s="64"/>
    </row>
    <row r="156" spans="1:14" ht="11.25" customHeight="1" x14ac:dyDescent="0.25">
      <c r="B156"/>
      <c r="D156" s="51"/>
      <c r="E156" s="78"/>
      <c r="F156" s="78"/>
      <c r="G156" s="79"/>
      <c r="H156" s="80"/>
      <c r="I156" s="80"/>
      <c r="J156" s="145"/>
      <c r="K156" s="68"/>
      <c r="L156" s="32"/>
      <c r="M156" s="32"/>
      <c r="N156" s="78"/>
    </row>
    <row r="157" spans="1:14" ht="8.25" customHeight="1" x14ac:dyDescent="0.25">
      <c r="A157" s="69">
        <v>106</v>
      </c>
      <c r="B157" s="16">
        <v>45860</v>
      </c>
      <c r="C157" s="70" t="s">
        <v>47</v>
      </c>
      <c r="D157" s="167"/>
      <c r="E157" s="168"/>
      <c r="F157" s="168"/>
      <c r="G157" s="169"/>
      <c r="H157" s="170"/>
      <c r="I157" s="170"/>
      <c r="J157" s="145"/>
      <c r="K157" s="31"/>
      <c r="L157" s="69"/>
      <c r="M157" s="32"/>
      <c r="N157" s="24"/>
    </row>
    <row r="158" spans="1:14" ht="11.25" customHeight="1" x14ac:dyDescent="0.25">
      <c r="A158" s="15">
        <v>107</v>
      </c>
      <c r="B158" s="16">
        <v>45861</v>
      </c>
      <c r="C158" s="17"/>
      <c r="D158" s="33"/>
      <c r="E158" s="26"/>
      <c r="F158" s="34"/>
      <c r="G158" s="35"/>
      <c r="H158" s="36"/>
      <c r="I158" s="107">
        <f t="shared" ref="I158:I163" si="15">+H158*G158</f>
        <v>0</v>
      </c>
      <c r="J158" s="145"/>
      <c r="K158" s="75"/>
      <c r="L158" s="75"/>
      <c r="M158" s="74"/>
      <c r="N158" s="34"/>
    </row>
    <row r="159" spans="1:14" ht="11.25" customHeight="1" x14ac:dyDescent="0.25">
      <c r="A159" s="15">
        <v>108</v>
      </c>
      <c r="B159" s="16">
        <v>45862</v>
      </c>
      <c r="C159" s="17"/>
      <c r="D159" s="38"/>
      <c r="E159" s="38"/>
      <c r="F159" s="34"/>
      <c r="G159" s="35"/>
      <c r="H159" s="36"/>
      <c r="I159" s="107">
        <f t="shared" si="15"/>
        <v>0</v>
      </c>
      <c r="J159" s="145"/>
      <c r="K159" s="75"/>
      <c r="L159" s="75"/>
      <c r="M159" s="74"/>
      <c r="N159" s="34"/>
    </row>
    <row r="160" spans="1:14" ht="11.25" customHeight="1" x14ac:dyDescent="0.25">
      <c r="A160" s="15">
        <v>109</v>
      </c>
      <c r="B160" s="16">
        <v>45863</v>
      </c>
      <c r="C160" s="17"/>
      <c r="D160" s="26"/>
      <c r="E160" s="26"/>
      <c r="F160" s="34"/>
      <c r="G160" s="35"/>
      <c r="H160" s="36"/>
      <c r="I160" s="107">
        <f t="shared" si="15"/>
        <v>0</v>
      </c>
      <c r="J160" s="145"/>
      <c r="K160" s="75"/>
      <c r="L160" s="75"/>
      <c r="M160" s="74"/>
      <c r="N160" s="34"/>
    </row>
    <row r="161" spans="1:19" ht="11.25" customHeight="1" x14ac:dyDescent="0.25">
      <c r="A161" s="15">
        <v>110</v>
      </c>
      <c r="B161" s="16">
        <v>45864</v>
      </c>
      <c r="C161" s="17"/>
      <c r="D161" s="38"/>
      <c r="E161" s="33"/>
      <c r="F161" s="34"/>
      <c r="G161" s="35"/>
      <c r="H161" s="36"/>
      <c r="I161" s="107">
        <f t="shared" si="15"/>
        <v>0</v>
      </c>
      <c r="J161" s="145"/>
      <c r="K161" s="75"/>
      <c r="L161" s="75"/>
      <c r="M161" s="74"/>
      <c r="N161" s="34"/>
    </row>
    <row r="162" spans="1:19" ht="11.25" customHeight="1" x14ac:dyDescent="0.25">
      <c r="A162" s="15">
        <v>111</v>
      </c>
      <c r="B162" s="16">
        <v>45865</v>
      </c>
      <c r="C162" s="17"/>
      <c r="D162" s="38"/>
      <c r="E162" s="38"/>
      <c r="F162" s="171"/>
      <c r="G162" s="172"/>
      <c r="H162" s="36"/>
      <c r="I162" s="107">
        <f t="shared" si="15"/>
        <v>0</v>
      </c>
      <c r="J162" s="145"/>
      <c r="K162" s="75"/>
      <c r="L162" s="75"/>
      <c r="M162" s="74"/>
      <c r="N162" s="34"/>
    </row>
    <row r="163" spans="1:19" ht="11.25" customHeight="1" x14ac:dyDescent="0.25">
      <c r="A163" s="41">
        <v>112</v>
      </c>
      <c r="B163" s="16">
        <v>45866</v>
      </c>
      <c r="C163" s="42"/>
      <c r="D163" s="33"/>
      <c r="E163" s="26"/>
      <c r="F163" s="164"/>
      <c r="G163" s="35"/>
      <c r="H163" s="173"/>
      <c r="I163" s="83">
        <f t="shared" si="15"/>
        <v>0</v>
      </c>
      <c r="J163" s="145"/>
      <c r="K163" s="47"/>
      <c r="L163" s="47"/>
      <c r="M163" s="32"/>
      <c r="N163" s="38"/>
    </row>
    <row r="164" spans="1:19" ht="11.25" customHeight="1" x14ac:dyDescent="0.25">
      <c r="A164" s="48" t="s">
        <v>48</v>
      </c>
      <c r="B164" s="114"/>
      <c r="C164" s="114"/>
      <c r="D164" s="51"/>
      <c r="E164" s="51"/>
      <c r="F164" s="51"/>
      <c r="G164" s="52">
        <f>SUM(G157:G163)</f>
        <v>0</v>
      </c>
      <c r="H164" s="54"/>
      <c r="I164" s="54">
        <f>SUM(I157:I163)</f>
        <v>0</v>
      </c>
      <c r="J164" s="145"/>
      <c r="K164" s="55">
        <f>+SUM(K157:K163)</f>
        <v>0</v>
      </c>
      <c r="L164" s="11">
        <f>+SUM(L157:L163)</f>
        <v>0</v>
      </c>
      <c r="M164" s="56"/>
      <c r="N164" s="11"/>
    </row>
    <row r="165" spans="1:19" ht="11.25" customHeight="1" x14ac:dyDescent="0.25">
      <c r="A165" s="57" t="s">
        <v>17</v>
      </c>
      <c r="B165" s="115"/>
      <c r="C165" s="115"/>
      <c r="D165" s="59"/>
      <c r="E165" s="59"/>
      <c r="F165" s="59"/>
      <c r="G165" s="61">
        <f>+G155+G164</f>
        <v>0</v>
      </c>
      <c r="H165" s="102"/>
      <c r="I165" s="63">
        <f>I155+I164</f>
        <v>0</v>
      </c>
      <c r="J165" s="145"/>
      <c r="K165" s="65">
        <f>+K155+K164</f>
        <v>0</v>
      </c>
      <c r="L165" s="64">
        <f>+L155+L164</f>
        <v>0</v>
      </c>
      <c r="M165" s="56"/>
      <c r="N165" s="64"/>
    </row>
    <row r="166" spans="1:19" ht="11.25" customHeight="1" x14ac:dyDescent="0.25">
      <c r="B166"/>
      <c r="D166" s="51"/>
      <c r="E166" s="51"/>
      <c r="F166" s="51"/>
      <c r="G166" s="67"/>
      <c r="H166" s="53"/>
      <c r="I166" s="53"/>
      <c r="J166" s="145"/>
      <c r="K166" s="68"/>
      <c r="L166" s="32"/>
      <c r="M166" s="32"/>
      <c r="N166" s="51"/>
    </row>
    <row r="167" spans="1:19" ht="8.25" customHeight="1" x14ac:dyDescent="0.25">
      <c r="A167" s="69">
        <v>113</v>
      </c>
      <c r="B167" s="16">
        <v>45867</v>
      </c>
      <c r="C167" s="70" t="s">
        <v>49</v>
      </c>
      <c r="D167" s="26"/>
      <c r="E167" s="26"/>
      <c r="F167" s="26"/>
      <c r="G167" s="35"/>
      <c r="H167" s="29"/>
      <c r="I167" s="21">
        <f>+G167*H167</f>
        <v>0</v>
      </c>
      <c r="J167" s="145"/>
      <c r="K167" s="72"/>
      <c r="L167" s="73"/>
      <c r="M167" s="74"/>
      <c r="N167" s="26"/>
    </row>
    <row r="168" spans="1:19" ht="12.75" customHeight="1" x14ac:dyDescent="0.25">
      <c r="A168" s="15">
        <v>114</v>
      </c>
      <c r="B168" s="16">
        <v>45868</v>
      </c>
      <c r="C168" s="17"/>
      <c r="D168" s="26"/>
      <c r="E168" s="26"/>
      <c r="F168" s="171"/>
      <c r="G168" s="35"/>
      <c r="H168" s="36"/>
      <c r="I168" s="36">
        <f t="shared" ref="I168:I173" si="16">+G168*H168</f>
        <v>0</v>
      </c>
      <c r="J168" s="145"/>
      <c r="K168" s="75"/>
      <c r="L168" s="75"/>
      <c r="M168" s="74"/>
      <c r="N168" s="34"/>
    </row>
    <row r="169" spans="1:19" ht="11.25" customHeight="1" x14ac:dyDescent="0.25">
      <c r="A169" s="15">
        <v>115</v>
      </c>
      <c r="B169" s="16">
        <v>45869</v>
      </c>
      <c r="C169" s="17"/>
      <c r="D169" s="26"/>
      <c r="E169" s="26"/>
      <c r="F169" s="34"/>
      <c r="G169" s="35"/>
      <c r="H169" s="36"/>
      <c r="I169" s="36">
        <f t="shared" si="16"/>
        <v>0</v>
      </c>
      <c r="J169" s="145"/>
      <c r="K169" s="75"/>
      <c r="L169" s="75"/>
      <c r="M169" s="74"/>
      <c r="N169" s="34"/>
    </row>
    <row r="170" spans="1:19" ht="11.25" customHeight="1" x14ac:dyDescent="0.25">
      <c r="A170" s="15">
        <v>116</v>
      </c>
      <c r="B170" s="16">
        <v>45870</v>
      </c>
      <c r="C170" s="17"/>
      <c r="D170" s="26"/>
      <c r="E170" s="26"/>
      <c r="F170" s="34"/>
      <c r="G170" s="35"/>
      <c r="H170" s="36"/>
      <c r="I170" s="36">
        <f t="shared" si="16"/>
        <v>0</v>
      </c>
      <c r="J170" s="145"/>
      <c r="K170" s="75"/>
      <c r="L170" s="75"/>
      <c r="M170" s="74"/>
      <c r="N170" s="34"/>
    </row>
    <row r="171" spans="1:19" ht="11.25" customHeight="1" x14ac:dyDescent="0.25">
      <c r="A171" s="15">
        <v>117</v>
      </c>
      <c r="B171" s="16">
        <v>45871</v>
      </c>
      <c r="C171" s="17"/>
      <c r="D171" s="38"/>
      <c r="E171" s="38"/>
      <c r="F171" s="26"/>
      <c r="G171" s="35"/>
      <c r="H171" s="29"/>
      <c r="I171" s="36">
        <f t="shared" si="16"/>
        <v>0</v>
      </c>
      <c r="J171" s="145"/>
      <c r="K171" s="75"/>
      <c r="L171" s="75"/>
      <c r="M171" s="74"/>
      <c r="N171" s="26"/>
    </row>
    <row r="172" spans="1:19" ht="11.25" customHeight="1" x14ac:dyDescent="0.25">
      <c r="A172" s="15">
        <v>118</v>
      </c>
      <c r="B172" s="16">
        <v>45872</v>
      </c>
      <c r="C172" s="17"/>
      <c r="D172" s="26"/>
      <c r="E172" s="26"/>
      <c r="F172" s="26"/>
      <c r="G172" s="35"/>
      <c r="H172" s="29"/>
      <c r="I172" s="36">
        <f t="shared" si="16"/>
        <v>0</v>
      </c>
      <c r="J172" s="174"/>
      <c r="K172" s="75"/>
      <c r="L172" s="75"/>
      <c r="M172" s="174"/>
      <c r="N172" s="26"/>
    </row>
    <row r="173" spans="1:19" ht="11.25" customHeight="1" x14ac:dyDescent="0.25">
      <c r="A173" s="175">
        <v>119</v>
      </c>
      <c r="B173" s="16">
        <v>45873</v>
      </c>
      <c r="C173" s="42"/>
      <c r="D173" s="38"/>
      <c r="E173" s="33"/>
      <c r="F173" s="38"/>
      <c r="G173" s="35"/>
      <c r="H173" s="107"/>
      <c r="I173" s="29">
        <f t="shared" si="16"/>
        <v>0</v>
      </c>
      <c r="J173" s="87"/>
      <c r="K173" s="47"/>
      <c r="L173" s="47"/>
      <c r="M173" s="32"/>
      <c r="N173" s="38"/>
    </row>
    <row r="174" spans="1:19" s="5" customFormat="1" ht="11.25" customHeight="1" x14ac:dyDescent="0.25">
      <c r="A174" s="48" t="s">
        <v>50</v>
      </c>
      <c r="B174" s="114"/>
      <c r="C174" s="114"/>
      <c r="D174" s="51"/>
      <c r="E174" s="51"/>
      <c r="F174" s="51"/>
      <c r="G174" s="52">
        <f>SUM(G167:G173)</f>
        <v>0</v>
      </c>
      <c r="H174" s="54"/>
      <c r="I174" s="54">
        <f>SUM(I167:I173)</f>
        <v>0</v>
      </c>
      <c r="J174" s="127"/>
      <c r="K174" s="55">
        <f>+SUM(K167:K173)</f>
        <v>0</v>
      </c>
      <c r="L174" s="11">
        <f>+SUM(L167:L173)</f>
        <v>0</v>
      </c>
      <c r="M174" s="56"/>
      <c r="N174" s="11"/>
      <c r="Q174"/>
      <c r="R174"/>
      <c r="S174"/>
    </row>
    <row r="175" spans="1:19" ht="11.25" customHeight="1" x14ac:dyDescent="0.25">
      <c r="A175" s="57" t="s">
        <v>17</v>
      </c>
      <c r="B175" s="115"/>
      <c r="C175" s="115"/>
      <c r="D175" s="59"/>
      <c r="E175" s="59"/>
      <c r="F175" s="59"/>
      <c r="G175" s="61">
        <f>+G165+G174</f>
        <v>0</v>
      </c>
      <c r="H175" s="102"/>
      <c r="I175" s="63">
        <f>I165+I174</f>
        <v>0</v>
      </c>
      <c r="J175" s="145"/>
      <c r="K175" s="65">
        <f>+K165+K174</f>
        <v>0</v>
      </c>
      <c r="L175" s="64">
        <f>+L165+L174</f>
        <v>0</v>
      </c>
      <c r="M175" s="56"/>
      <c r="N175" s="64"/>
    </row>
    <row r="176" spans="1:19" ht="11.25" customHeight="1" x14ac:dyDescent="0.25">
      <c r="B176"/>
      <c r="D176" s="78"/>
      <c r="E176" s="78"/>
      <c r="F176" s="78"/>
      <c r="G176" s="79"/>
      <c r="H176" s="80"/>
      <c r="I176" s="80"/>
      <c r="J176" s="32"/>
      <c r="K176" s="68"/>
      <c r="L176" s="32"/>
      <c r="M176" s="32"/>
      <c r="N176" s="78"/>
    </row>
    <row r="177" spans="1:21" ht="8.25" customHeight="1" x14ac:dyDescent="0.25">
      <c r="A177" s="69">
        <v>120</v>
      </c>
      <c r="B177" s="16">
        <v>45874</v>
      </c>
      <c r="C177" s="70" t="s">
        <v>51</v>
      </c>
      <c r="D177" s="18"/>
      <c r="E177" s="18"/>
      <c r="F177" s="18"/>
      <c r="G177" s="20"/>
      <c r="H177" s="21"/>
      <c r="I177" s="21">
        <f t="shared" ref="I177:I182" si="17">+G177*H177</f>
        <v>0</v>
      </c>
      <c r="J177" s="174"/>
      <c r="K177" s="72"/>
      <c r="L177" s="73"/>
      <c r="M177" s="74"/>
      <c r="N177" s="18"/>
    </row>
    <row r="178" spans="1:21" ht="11.25" customHeight="1" x14ac:dyDescent="0.25">
      <c r="A178" s="15">
        <v>121</v>
      </c>
      <c r="B178" s="16">
        <v>45875</v>
      </c>
      <c r="C178" s="17"/>
      <c r="D178" s="26"/>
      <c r="E178" s="113"/>
      <c r="F178" s="34"/>
      <c r="G178" s="35"/>
      <c r="H178" s="36"/>
      <c r="I178" s="36">
        <f t="shared" si="17"/>
        <v>0</v>
      </c>
      <c r="J178" s="174"/>
      <c r="K178" s="75"/>
      <c r="L178" s="75"/>
      <c r="M178" s="74"/>
      <c r="N178" s="34"/>
    </row>
    <row r="179" spans="1:21" ht="11.25" customHeight="1" x14ac:dyDescent="0.25">
      <c r="A179" s="15">
        <v>122</v>
      </c>
      <c r="B179" s="16">
        <v>45876</v>
      </c>
      <c r="C179" s="17"/>
      <c r="D179" s="38"/>
      <c r="E179" s="26"/>
      <c r="F179" s="34"/>
      <c r="G179" s="35"/>
      <c r="H179" s="36"/>
      <c r="I179" s="36">
        <f t="shared" si="17"/>
        <v>0</v>
      </c>
      <c r="J179" s="174"/>
      <c r="K179" s="75"/>
      <c r="L179" s="75"/>
      <c r="M179" s="74"/>
      <c r="N179" s="34"/>
    </row>
    <row r="180" spans="1:21" ht="11.25" customHeight="1" x14ac:dyDescent="0.25">
      <c r="A180" s="15">
        <v>123</v>
      </c>
      <c r="B180" s="16">
        <v>45877</v>
      </c>
      <c r="C180" s="17"/>
      <c r="D180" s="38"/>
      <c r="E180" s="38"/>
      <c r="F180" s="34"/>
      <c r="G180" s="35"/>
      <c r="H180" s="36"/>
      <c r="I180" s="36">
        <f t="shared" si="17"/>
        <v>0</v>
      </c>
      <c r="J180" s="174"/>
      <c r="K180" s="75"/>
      <c r="L180" s="75"/>
      <c r="M180" s="74"/>
      <c r="N180" s="34"/>
    </row>
    <row r="181" spans="1:21" ht="11.25" customHeight="1" x14ac:dyDescent="0.25">
      <c r="A181" s="15">
        <v>124</v>
      </c>
      <c r="B181" s="16">
        <v>45878</v>
      </c>
      <c r="C181" s="17"/>
      <c r="D181" s="26"/>
      <c r="E181" s="26"/>
      <c r="F181" s="34"/>
      <c r="G181" s="176"/>
      <c r="H181" s="162"/>
      <c r="I181" s="36">
        <f t="shared" si="17"/>
        <v>0</v>
      </c>
      <c r="J181" s="174"/>
      <c r="K181" s="75"/>
      <c r="L181" s="75"/>
      <c r="M181" s="74"/>
      <c r="N181" s="34"/>
    </row>
    <row r="182" spans="1:21" ht="11.25" customHeight="1" x14ac:dyDescent="0.25">
      <c r="A182" s="15">
        <v>125</v>
      </c>
      <c r="B182" s="16">
        <v>45879</v>
      </c>
      <c r="C182" s="17"/>
      <c r="D182" s="26"/>
      <c r="E182" s="26"/>
      <c r="F182" s="34"/>
      <c r="G182" s="35"/>
      <c r="H182" s="36"/>
      <c r="I182" s="36">
        <f t="shared" si="17"/>
        <v>0</v>
      </c>
      <c r="J182" s="174"/>
      <c r="K182" s="75"/>
      <c r="L182" s="75"/>
      <c r="M182" s="74"/>
      <c r="N182" s="34"/>
    </row>
    <row r="183" spans="1:21" ht="11.25" customHeight="1" x14ac:dyDescent="0.25">
      <c r="A183" s="177">
        <v>126</v>
      </c>
      <c r="B183" s="16">
        <v>45880</v>
      </c>
      <c r="C183" s="178"/>
      <c r="D183" s="146"/>
      <c r="E183" s="26"/>
      <c r="F183" s="34"/>
      <c r="G183" s="179"/>
      <c r="H183" s="36"/>
      <c r="I183" s="29">
        <f>G183*H183</f>
        <v>0</v>
      </c>
      <c r="J183" s="174"/>
      <c r="K183" s="100"/>
      <c r="L183" s="100"/>
      <c r="M183" s="74"/>
      <c r="N183" s="34"/>
    </row>
    <row r="184" spans="1:21" s="134" customFormat="1" ht="11.25" customHeight="1" x14ac:dyDescent="0.25">
      <c r="A184" s="48" t="s">
        <v>52</v>
      </c>
      <c r="B184" s="114"/>
      <c r="C184" s="114"/>
      <c r="D184" s="51"/>
      <c r="E184" s="51"/>
      <c r="F184" s="51"/>
      <c r="G184" s="52">
        <f>SUM(G177:G183)</f>
        <v>0</v>
      </c>
      <c r="H184" s="54"/>
      <c r="I184" s="54">
        <f>SUM(I177:I183)</f>
        <v>0</v>
      </c>
      <c r="J184" s="127"/>
      <c r="K184" s="55">
        <f>+SUM(K177:K183)</f>
        <v>0</v>
      </c>
      <c r="L184" s="11">
        <f>+SUM(L177:L183)</f>
        <v>0</v>
      </c>
      <c r="M184" s="56"/>
      <c r="N184" s="11"/>
      <c r="P184"/>
      <c r="Q184"/>
      <c r="R184"/>
      <c r="S184"/>
      <c r="T184"/>
      <c r="U184"/>
    </row>
    <row r="185" spans="1:21" ht="11.25" customHeight="1" x14ac:dyDescent="0.25">
      <c r="A185" s="57" t="s">
        <v>17</v>
      </c>
      <c r="B185" s="115"/>
      <c r="C185" s="115"/>
      <c r="D185" s="59"/>
      <c r="E185" s="59"/>
      <c r="F185" s="59"/>
      <c r="G185" s="61">
        <f>+G175+G184</f>
        <v>0</v>
      </c>
      <c r="H185" s="102"/>
      <c r="I185" s="63">
        <f>I175+I184</f>
        <v>0</v>
      </c>
      <c r="J185" s="145"/>
      <c r="K185" s="65">
        <f>+K175+K184</f>
        <v>0</v>
      </c>
      <c r="L185" s="64">
        <f>+L175+L184</f>
        <v>0</v>
      </c>
      <c r="M185" s="56"/>
      <c r="N185" s="64"/>
    </row>
    <row r="186" spans="1:21" ht="11.25" customHeight="1" x14ac:dyDescent="0.25">
      <c r="B186"/>
      <c r="D186" s="51"/>
      <c r="E186" s="51"/>
      <c r="F186" s="51"/>
      <c r="G186" s="67"/>
      <c r="H186" s="53"/>
      <c r="I186" s="80"/>
      <c r="J186" s="32"/>
      <c r="K186" s="68"/>
      <c r="L186" s="32"/>
      <c r="M186" s="32"/>
      <c r="N186" s="51"/>
    </row>
    <row r="187" spans="1:21" ht="8.25" customHeight="1" x14ac:dyDescent="0.25">
      <c r="A187" s="69">
        <v>127</v>
      </c>
      <c r="B187" s="16">
        <v>45881</v>
      </c>
      <c r="C187" s="70" t="s">
        <v>53</v>
      </c>
      <c r="D187" s="26"/>
      <c r="E187" s="26"/>
      <c r="F187" s="24"/>
      <c r="G187" s="180"/>
      <c r="H187" s="83"/>
      <c r="I187" s="105">
        <f>+G187*H187</f>
        <v>0</v>
      </c>
      <c r="J187" s="87"/>
      <c r="K187" s="31"/>
      <c r="L187" s="69"/>
      <c r="M187" s="32"/>
      <c r="N187" s="33"/>
    </row>
    <row r="188" spans="1:21" ht="11.25" customHeight="1" x14ac:dyDescent="0.25">
      <c r="A188" s="15">
        <v>128</v>
      </c>
      <c r="B188" s="16">
        <v>45882</v>
      </c>
      <c r="C188" s="17"/>
      <c r="D188" s="146"/>
      <c r="E188" s="26"/>
      <c r="F188" s="34"/>
      <c r="G188" s="35"/>
      <c r="H188" s="36"/>
      <c r="I188" s="107">
        <f t="shared" ref="I188:I193" si="18">+G188*H188</f>
        <v>0</v>
      </c>
      <c r="J188" s="174"/>
      <c r="K188" s="75"/>
      <c r="L188" s="75"/>
      <c r="M188" s="74"/>
    </row>
    <row r="189" spans="1:21" ht="11.25" customHeight="1" x14ac:dyDescent="0.25">
      <c r="A189" s="15">
        <v>129</v>
      </c>
      <c r="B189" s="16">
        <v>45883</v>
      </c>
      <c r="C189" s="17"/>
      <c r="D189" s="38"/>
      <c r="E189" s="38"/>
      <c r="F189" s="34"/>
      <c r="G189" s="35"/>
      <c r="H189" s="36"/>
      <c r="I189" s="107">
        <f t="shared" si="18"/>
        <v>0</v>
      </c>
      <c r="J189" s="174"/>
      <c r="K189" s="75"/>
      <c r="L189" s="75"/>
      <c r="M189" s="74"/>
      <c r="N189" s="34"/>
    </row>
    <row r="190" spans="1:21" ht="11.25" customHeight="1" x14ac:dyDescent="0.25">
      <c r="A190" s="15">
        <v>130</v>
      </c>
      <c r="B190" s="16">
        <v>45884</v>
      </c>
      <c r="C190" s="17"/>
      <c r="D190" s="146"/>
      <c r="E190" s="26"/>
      <c r="F190" s="34"/>
      <c r="G190" s="35"/>
      <c r="H190" s="36"/>
      <c r="I190" s="107">
        <f t="shared" si="18"/>
        <v>0</v>
      </c>
      <c r="J190" s="174"/>
      <c r="K190" s="75"/>
      <c r="L190" s="75"/>
      <c r="M190" s="74"/>
      <c r="N190" s="34"/>
    </row>
    <row r="191" spans="1:21" ht="11.25" customHeight="1" x14ac:dyDescent="0.25">
      <c r="A191" s="15">
        <v>131</v>
      </c>
      <c r="B191" s="16">
        <v>45885</v>
      </c>
      <c r="C191" s="17"/>
      <c r="D191" s="26"/>
      <c r="E191" s="26"/>
      <c r="F191" s="34"/>
      <c r="G191" s="71"/>
      <c r="H191" s="29"/>
      <c r="I191" s="107">
        <f t="shared" si="18"/>
        <v>0</v>
      </c>
      <c r="J191" s="174"/>
      <c r="K191" s="75"/>
      <c r="L191" s="75"/>
      <c r="M191" s="74"/>
      <c r="N191" s="34"/>
    </row>
    <row r="192" spans="1:21" ht="11.25" customHeight="1" x14ac:dyDescent="0.25">
      <c r="A192" s="15">
        <v>132</v>
      </c>
      <c r="B192" s="16">
        <v>45886</v>
      </c>
      <c r="C192" s="17"/>
      <c r="D192" s="38"/>
      <c r="E192" s="33"/>
      <c r="F192" s="34"/>
      <c r="G192" s="181"/>
      <c r="H192" s="29"/>
      <c r="I192" s="107">
        <f t="shared" si="18"/>
        <v>0</v>
      </c>
      <c r="J192" s="174"/>
      <c r="K192" s="75"/>
      <c r="L192" s="75"/>
      <c r="M192" s="174"/>
      <c r="N192" s="26"/>
    </row>
    <row r="193" spans="1:18" ht="11.25" customHeight="1" x14ac:dyDescent="0.25">
      <c r="A193" s="41">
        <v>133</v>
      </c>
      <c r="B193" s="16">
        <v>45887</v>
      </c>
      <c r="C193" s="42"/>
      <c r="D193" s="26"/>
      <c r="E193" s="26"/>
      <c r="F193" s="154"/>
      <c r="G193" s="172"/>
      <c r="H193" s="36"/>
      <c r="I193" s="83">
        <f t="shared" si="18"/>
        <v>0</v>
      </c>
      <c r="J193" s="174"/>
      <c r="K193" s="100"/>
      <c r="L193" s="100"/>
      <c r="M193" s="74"/>
      <c r="N193" s="34"/>
    </row>
    <row r="194" spans="1:18" ht="11.25" customHeight="1" x14ac:dyDescent="0.25">
      <c r="A194" s="48" t="s">
        <v>54</v>
      </c>
      <c r="B194" s="114"/>
      <c r="C194" s="114"/>
      <c r="D194" s="51"/>
      <c r="E194" s="51"/>
      <c r="G194" s="52">
        <f>SUM(G187:G193)</f>
        <v>0</v>
      </c>
      <c r="H194" s="54"/>
      <c r="I194" s="54">
        <f>SUM(I187:I193)</f>
        <v>0</v>
      </c>
      <c r="J194" s="127"/>
      <c r="K194" s="55">
        <f>SUM(K187:K193)</f>
        <v>0</v>
      </c>
      <c r="L194" s="11">
        <f>SUM(L191:L193)</f>
        <v>0</v>
      </c>
      <c r="M194" s="56"/>
      <c r="N194" s="11"/>
    </row>
    <row r="195" spans="1:18" ht="11.25" customHeight="1" x14ac:dyDescent="0.25">
      <c r="A195" s="57" t="s">
        <v>17</v>
      </c>
      <c r="B195" s="115"/>
      <c r="C195" s="115"/>
      <c r="D195" s="59"/>
      <c r="E195" s="59"/>
      <c r="F195" s="59"/>
      <c r="G195" s="61">
        <f>+G185+G194</f>
        <v>0</v>
      </c>
      <c r="H195" s="102"/>
      <c r="I195" s="63">
        <f>I185+I194</f>
        <v>0</v>
      </c>
      <c r="J195" s="145"/>
      <c r="K195" s="65">
        <f>+K185+K194</f>
        <v>0</v>
      </c>
      <c r="L195" s="64">
        <f>+L185+L194</f>
        <v>0</v>
      </c>
      <c r="M195" s="56"/>
      <c r="N195" s="64"/>
    </row>
    <row r="196" spans="1:18" ht="11.25" customHeight="1" x14ac:dyDescent="0.25">
      <c r="B196"/>
      <c r="D196" s="78"/>
      <c r="E196" s="78"/>
      <c r="F196" s="78"/>
      <c r="G196" s="79"/>
      <c r="H196" s="80"/>
      <c r="I196" s="151"/>
      <c r="J196" s="32"/>
      <c r="K196" s="68"/>
      <c r="L196" s="32"/>
      <c r="M196" s="32"/>
      <c r="N196" s="78"/>
    </row>
    <row r="197" spans="1:18" ht="8.25" customHeight="1" x14ac:dyDescent="0.25">
      <c r="A197" s="69">
        <v>134</v>
      </c>
      <c r="B197" s="16">
        <v>45888</v>
      </c>
      <c r="C197" s="70" t="s">
        <v>55</v>
      </c>
      <c r="D197" s="24"/>
      <c r="E197" s="24"/>
      <c r="F197" s="24"/>
      <c r="G197" s="182"/>
      <c r="H197" s="105"/>
      <c r="I197" s="105">
        <f>+G197*H197</f>
        <v>0</v>
      </c>
      <c r="J197" s="87"/>
      <c r="K197" s="31"/>
      <c r="L197" s="69"/>
      <c r="M197" s="32"/>
      <c r="N197" s="24"/>
    </row>
    <row r="198" spans="1:18" ht="11.25" customHeight="1" x14ac:dyDescent="0.25">
      <c r="A198" s="15">
        <v>135</v>
      </c>
      <c r="B198" s="16">
        <v>45889</v>
      </c>
      <c r="C198" s="17"/>
      <c r="D198" s="33"/>
      <c r="E198" s="33"/>
      <c r="F198" s="38"/>
      <c r="G198" s="106"/>
      <c r="H198" s="107"/>
      <c r="I198" s="107">
        <f t="shared" ref="I198:I203" si="19">+G198*H198</f>
        <v>0</v>
      </c>
      <c r="J198" s="87"/>
      <c r="K198" s="15"/>
      <c r="L198" s="15"/>
      <c r="M198" s="32"/>
      <c r="N198" s="38"/>
    </row>
    <row r="199" spans="1:18" ht="11.25" customHeight="1" x14ac:dyDescent="0.25">
      <c r="A199" s="15">
        <v>136</v>
      </c>
      <c r="B199" s="16">
        <v>45890</v>
      </c>
      <c r="C199" s="17"/>
      <c r="D199" s="33"/>
      <c r="E199" s="33"/>
      <c r="F199" s="38"/>
      <c r="G199" s="106"/>
      <c r="H199" s="107"/>
      <c r="I199" s="107">
        <f t="shared" si="19"/>
        <v>0</v>
      </c>
      <c r="J199" s="87"/>
      <c r="K199" s="15"/>
      <c r="L199" s="15"/>
      <c r="M199" s="32"/>
      <c r="N199" s="38"/>
    </row>
    <row r="200" spans="1:18" ht="11.25" customHeight="1" x14ac:dyDescent="0.25">
      <c r="A200" s="15">
        <v>137</v>
      </c>
      <c r="B200" s="16">
        <v>45891</v>
      </c>
      <c r="C200" s="17"/>
      <c r="D200" s="38"/>
      <c r="E200" s="26"/>
      <c r="F200" s="38"/>
      <c r="G200" s="106"/>
      <c r="H200" s="107"/>
      <c r="I200" s="107">
        <f t="shared" si="19"/>
        <v>0</v>
      </c>
      <c r="J200" s="87"/>
      <c r="K200" s="15"/>
      <c r="L200" s="15"/>
      <c r="M200" s="32"/>
      <c r="N200" s="38"/>
    </row>
    <row r="201" spans="1:18" ht="11.25" customHeight="1" x14ac:dyDescent="0.25">
      <c r="A201" s="15">
        <v>138</v>
      </c>
      <c r="B201" s="16">
        <v>45892</v>
      </c>
      <c r="C201" s="17"/>
      <c r="D201" s="26"/>
      <c r="E201" s="164"/>
      <c r="F201" s="38"/>
      <c r="G201" s="183"/>
      <c r="H201" s="36"/>
      <c r="I201" s="107">
        <f t="shared" si="19"/>
        <v>0</v>
      </c>
      <c r="J201" s="87"/>
      <c r="K201" s="15"/>
      <c r="L201" s="15"/>
      <c r="M201" s="32"/>
      <c r="N201" s="38"/>
      <c r="R201" s="76"/>
    </row>
    <row r="202" spans="1:18" ht="11.25" customHeight="1" x14ac:dyDescent="0.25">
      <c r="A202" s="15">
        <v>139</v>
      </c>
      <c r="B202" s="16">
        <v>45893</v>
      </c>
      <c r="C202" s="17"/>
      <c r="D202" s="33"/>
      <c r="E202" s="33"/>
      <c r="F202" s="38"/>
      <c r="G202" s="106"/>
      <c r="H202" s="107"/>
      <c r="I202" s="107">
        <f t="shared" si="19"/>
        <v>0</v>
      </c>
      <c r="J202" s="87"/>
      <c r="K202" s="15"/>
      <c r="L202" s="15"/>
      <c r="M202" s="32"/>
      <c r="N202" s="38"/>
    </row>
    <row r="203" spans="1:18" ht="11.25" customHeight="1" x14ac:dyDescent="0.25">
      <c r="A203" s="177">
        <v>140</v>
      </c>
      <c r="B203" s="16">
        <v>45894</v>
      </c>
      <c r="C203" s="178"/>
      <c r="D203" s="108"/>
      <c r="E203" s="108"/>
      <c r="F203" s="154"/>
      <c r="G203" s="155"/>
      <c r="H203" s="109"/>
      <c r="I203" s="83">
        <f t="shared" si="19"/>
        <v>0</v>
      </c>
      <c r="J203" s="127"/>
      <c r="K203" s="184"/>
      <c r="L203" s="100"/>
      <c r="M203" s="74"/>
      <c r="N203" s="34"/>
    </row>
    <row r="204" spans="1:18" s="134" customFormat="1" ht="11.25" customHeight="1" x14ac:dyDescent="0.25">
      <c r="A204" s="48" t="s">
        <v>56</v>
      </c>
      <c r="B204" s="114"/>
      <c r="C204" s="114"/>
      <c r="D204" s="51"/>
      <c r="E204" s="51"/>
      <c r="F204" s="51"/>
      <c r="G204" s="52">
        <f>SUM(G197:G203)</f>
        <v>0</v>
      </c>
      <c r="H204" s="54"/>
      <c r="I204" s="54">
        <f>SUM(I197:I203)</f>
        <v>0</v>
      </c>
      <c r="J204" s="127"/>
      <c r="K204" s="55">
        <f>SUM(K197:K203)</f>
        <v>0</v>
      </c>
      <c r="L204" s="11">
        <f>SUM(L201:L203)</f>
        <v>0</v>
      </c>
      <c r="M204" s="56"/>
      <c r="N204" s="11"/>
    </row>
    <row r="205" spans="1:18" ht="11.25" customHeight="1" x14ac:dyDescent="0.25">
      <c r="A205" s="57" t="s">
        <v>17</v>
      </c>
      <c r="B205" s="115"/>
      <c r="C205" s="115"/>
      <c r="D205" s="59"/>
      <c r="E205" s="59"/>
      <c r="F205" s="59"/>
      <c r="G205" s="61">
        <f>+G195+G204</f>
        <v>0</v>
      </c>
      <c r="H205" s="102"/>
      <c r="I205" s="63">
        <f>+I195+I204</f>
        <v>0</v>
      </c>
      <c r="J205" s="145"/>
      <c r="K205" s="65">
        <f>+K195+K204</f>
        <v>0</v>
      </c>
      <c r="L205" s="64">
        <f>+L195+L204</f>
        <v>0</v>
      </c>
      <c r="M205" s="56"/>
      <c r="N205" s="64"/>
    </row>
    <row r="206" spans="1:18" ht="11.25" customHeight="1" x14ac:dyDescent="0.25">
      <c r="B206"/>
      <c r="D206" s="51"/>
      <c r="E206" s="51"/>
      <c r="F206" s="51"/>
      <c r="G206" s="67"/>
      <c r="H206" s="185"/>
      <c r="I206" s="151"/>
      <c r="J206" s="32"/>
      <c r="K206" s="68"/>
      <c r="L206" s="32"/>
      <c r="M206" s="32"/>
      <c r="N206" s="78"/>
      <c r="O206" s="186"/>
    </row>
    <row r="207" spans="1:18" ht="8.25" customHeight="1" x14ac:dyDescent="0.25">
      <c r="A207" s="69">
        <v>141</v>
      </c>
      <c r="B207" s="187">
        <v>45895</v>
      </c>
      <c r="C207" s="70" t="s">
        <v>57</v>
      </c>
      <c r="D207" s="33"/>
      <c r="E207" s="33"/>
      <c r="F207" s="33"/>
      <c r="G207" s="88"/>
      <c r="H207" s="29"/>
      <c r="I207" s="21">
        <f t="shared" ref="I207:I213" si="20">+G207*H207</f>
        <v>0</v>
      </c>
      <c r="J207" s="174"/>
      <c r="K207" s="72"/>
      <c r="L207" s="73"/>
      <c r="M207" s="74"/>
      <c r="N207" s="18"/>
    </row>
    <row r="208" spans="1:18" ht="11.25" customHeight="1" x14ac:dyDescent="0.25">
      <c r="A208" s="15">
        <v>142</v>
      </c>
      <c r="B208" s="187">
        <v>45896</v>
      </c>
      <c r="C208" s="17"/>
      <c r="D208" s="33"/>
      <c r="E208" s="33"/>
      <c r="F208" s="38"/>
      <c r="G208" s="106"/>
      <c r="H208" s="36"/>
      <c r="I208" s="36">
        <f t="shared" si="20"/>
        <v>0</v>
      </c>
      <c r="J208" s="174"/>
      <c r="K208" s="75"/>
      <c r="L208" s="75"/>
      <c r="M208" s="74"/>
      <c r="N208" s="34"/>
    </row>
    <row r="209" spans="1:14" ht="11.25" customHeight="1" x14ac:dyDescent="0.25">
      <c r="A209" s="15">
        <v>143</v>
      </c>
      <c r="B209" s="187">
        <v>45897</v>
      </c>
      <c r="C209" s="17"/>
      <c r="D209" s="33"/>
      <c r="E209" s="33"/>
      <c r="F209" s="34"/>
      <c r="G209" s="35"/>
      <c r="H209" s="36"/>
      <c r="I209" s="36">
        <f t="shared" si="20"/>
        <v>0</v>
      </c>
      <c r="J209" s="174"/>
      <c r="K209" s="75"/>
      <c r="L209" s="75"/>
      <c r="M209" s="74"/>
      <c r="N209" s="34"/>
    </row>
    <row r="210" spans="1:14" ht="11.25" customHeight="1" x14ac:dyDescent="0.25">
      <c r="A210" s="15">
        <v>144</v>
      </c>
      <c r="B210" s="187">
        <v>45898</v>
      </c>
      <c r="C210" s="17"/>
      <c r="D210" s="38"/>
      <c r="E210" s="38"/>
      <c r="F210" s="34"/>
      <c r="G210" s="35"/>
      <c r="H210" s="36"/>
      <c r="I210" s="36">
        <f t="shared" si="20"/>
        <v>0</v>
      </c>
      <c r="J210" s="174"/>
      <c r="K210" s="75"/>
      <c r="L210" s="75"/>
      <c r="M210" s="74"/>
      <c r="N210" s="34"/>
    </row>
    <row r="211" spans="1:14" ht="11.25" customHeight="1" x14ac:dyDescent="0.25">
      <c r="A211" s="15">
        <v>145</v>
      </c>
      <c r="B211" s="187">
        <v>45899</v>
      </c>
      <c r="C211" s="17"/>
      <c r="D211" s="26"/>
      <c r="E211" s="26"/>
      <c r="F211" s="34"/>
      <c r="G211" s="35"/>
      <c r="H211" s="36"/>
      <c r="I211" s="36">
        <f t="shared" si="20"/>
        <v>0</v>
      </c>
      <c r="J211" s="174"/>
      <c r="K211" s="75"/>
      <c r="L211" s="75"/>
      <c r="M211" s="74"/>
      <c r="N211" s="34"/>
    </row>
    <row r="212" spans="1:14" ht="11.25" customHeight="1" x14ac:dyDescent="0.25">
      <c r="A212" s="15">
        <v>146</v>
      </c>
      <c r="B212" s="187">
        <v>45900</v>
      </c>
      <c r="C212" s="17"/>
      <c r="D212" s="26"/>
      <c r="E212" s="26"/>
      <c r="F212" s="34"/>
      <c r="G212" s="35"/>
      <c r="H212" s="36"/>
      <c r="I212" s="36">
        <f t="shared" si="20"/>
        <v>0</v>
      </c>
      <c r="J212" s="174"/>
      <c r="K212" s="75"/>
      <c r="L212" s="75"/>
      <c r="M212" s="74"/>
      <c r="N212" s="34"/>
    </row>
    <row r="213" spans="1:14" ht="11.25" customHeight="1" x14ac:dyDescent="0.25">
      <c r="A213" s="177">
        <v>147</v>
      </c>
      <c r="B213" s="187">
        <v>45901</v>
      </c>
      <c r="C213" s="178"/>
      <c r="D213" s="108"/>
      <c r="E213" s="108"/>
      <c r="F213" s="154"/>
      <c r="G213" s="155"/>
      <c r="H213" s="36"/>
      <c r="I213" s="29">
        <f t="shared" si="20"/>
        <v>0</v>
      </c>
      <c r="J213" s="127"/>
      <c r="K213" s="184"/>
      <c r="L213" s="100"/>
      <c r="M213" s="74"/>
      <c r="N213" s="34"/>
    </row>
    <row r="214" spans="1:14" s="134" customFormat="1" ht="11.25" customHeight="1" x14ac:dyDescent="0.25">
      <c r="A214" s="48" t="s">
        <v>58</v>
      </c>
      <c r="B214" s="114"/>
      <c r="C214" s="114"/>
      <c r="D214" s="51"/>
      <c r="E214" s="51"/>
      <c r="F214" s="51"/>
      <c r="G214" s="52">
        <f>SUM(G207:G213)</f>
        <v>0</v>
      </c>
      <c r="H214" s="54"/>
      <c r="I214" s="54">
        <f>SUM(I207:I213)</f>
        <v>0</v>
      </c>
      <c r="J214" s="127"/>
      <c r="K214" s="55">
        <f>SUM(K207:K213)</f>
        <v>0</v>
      </c>
      <c r="L214" s="11">
        <f>SUM(L211:L213)</f>
        <v>0</v>
      </c>
      <c r="M214" s="56"/>
      <c r="N214" s="11"/>
    </row>
    <row r="215" spans="1:14" ht="11.25" customHeight="1" x14ac:dyDescent="0.25">
      <c r="A215" s="57" t="s">
        <v>17</v>
      </c>
      <c r="B215" s="115"/>
      <c r="C215" s="115"/>
      <c r="D215" s="59"/>
      <c r="E215" s="59"/>
      <c r="F215" s="59"/>
      <c r="G215" s="61">
        <f>+G205+G214</f>
        <v>0</v>
      </c>
      <c r="H215" s="102"/>
      <c r="I215" s="63">
        <f>+I205+I214</f>
        <v>0</v>
      </c>
      <c r="J215" s="145"/>
      <c r="K215" s="65">
        <f>+K205+K214</f>
        <v>0</v>
      </c>
      <c r="L215" s="64">
        <f>+L205+L214</f>
        <v>0</v>
      </c>
      <c r="M215" s="56"/>
      <c r="N215" s="64"/>
    </row>
    <row r="216" spans="1:14" ht="11.25" customHeight="1" x14ac:dyDescent="0.25">
      <c r="B216"/>
      <c r="D216" s="78"/>
      <c r="E216" s="78"/>
      <c r="F216" s="78"/>
      <c r="G216" s="79"/>
      <c r="H216" s="80"/>
      <c r="I216" s="53"/>
      <c r="J216" s="32"/>
      <c r="K216" s="68"/>
      <c r="L216" s="32"/>
      <c r="M216" s="32"/>
      <c r="N216" s="78"/>
    </row>
    <row r="217" spans="1:14" ht="8.25" customHeight="1" x14ac:dyDescent="0.25">
      <c r="A217" s="69">
        <v>148</v>
      </c>
      <c r="B217" s="16">
        <v>45902</v>
      </c>
      <c r="C217" s="70" t="s">
        <v>59</v>
      </c>
      <c r="D217" s="24"/>
      <c r="E217" s="24"/>
      <c r="F217" s="24"/>
      <c r="G217" s="182"/>
      <c r="H217" s="105"/>
      <c r="I217" s="83">
        <f t="shared" ref="I217:I223" si="21">+H217*G217</f>
        <v>0</v>
      </c>
      <c r="J217" s="87"/>
      <c r="K217" s="31"/>
      <c r="L217" s="69"/>
      <c r="M217" s="32"/>
      <c r="N217" s="24"/>
    </row>
    <row r="218" spans="1:14" ht="11.25" customHeight="1" x14ac:dyDescent="0.25">
      <c r="A218" s="15">
        <v>149</v>
      </c>
      <c r="B218" s="16">
        <v>45903</v>
      </c>
      <c r="C218" s="17"/>
      <c r="D218" s="33"/>
      <c r="E218" s="33"/>
      <c r="F218" s="38"/>
      <c r="G218" s="106"/>
      <c r="H218" s="107"/>
      <c r="I218" s="107">
        <f t="shared" si="21"/>
        <v>0</v>
      </c>
      <c r="J218" s="87"/>
      <c r="K218" s="15"/>
      <c r="L218" s="15"/>
      <c r="M218" s="32"/>
      <c r="N218" s="38"/>
    </row>
    <row r="219" spans="1:14" ht="11.25" customHeight="1" x14ac:dyDescent="0.25">
      <c r="A219" s="15">
        <v>150</v>
      </c>
      <c r="B219" s="16">
        <v>45904</v>
      </c>
      <c r="C219" s="17"/>
      <c r="D219" s="33"/>
      <c r="E219" s="33"/>
      <c r="F219" s="38"/>
      <c r="G219" s="106"/>
      <c r="H219" s="107"/>
      <c r="I219" s="107">
        <f t="shared" si="21"/>
        <v>0</v>
      </c>
      <c r="J219" s="87"/>
      <c r="K219" s="15"/>
      <c r="L219" s="15"/>
      <c r="M219" s="32"/>
      <c r="N219" s="38"/>
    </row>
    <row r="220" spans="1:14" ht="11.25" customHeight="1" x14ac:dyDescent="0.25">
      <c r="A220" s="15">
        <v>151</v>
      </c>
      <c r="B220" s="16">
        <v>45905</v>
      </c>
      <c r="C220" s="17"/>
      <c r="D220" s="33"/>
      <c r="E220" s="33"/>
      <c r="F220" s="38"/>
      <c r="G220" s="106"/>
      <c r="H220" s="107"/>
      <c r="I220" s="107">
        <f t="shared" si="21"/>
        <v>0</v>
      </c>
      <c r="J220" s="87"/>
      <c r="K220" s="15"/>
      <c r="L220" s="15"/>
      <c r="M220" s="32"/>
      <c r="N220" s="38"/>
    </row>
    <row r="221" spans="1:14" ht="11.25" customHeight="1" x14ac:dyDescent="0.25">
      <c r="A221" s="15">
        <v>152</v>
      </c>
      <c r="B221" s="16">
        <v>45906</v>
      </c>
      <c r="C221" s="17"/>
      <c r="D221" s="33"/>
      <c r="E221" s="33"/>
      <c r="F221" s="38"/>
      <c r="G221" s="106"/>
      <c r="H221" s="107"/>
      <c r="I221" s="107">
        <f>+H221*G208</f>
        <v>0</v>
      </c>
      <c r="J221" s="87"/>
      <c r="K221" s="15"/>
      <c r="L221" s="15"/>
      <c r="M221" s="32"/>
      <c r="N221" s="38"/>
    </row>
    <row r="222" spans="1:14" ht="11.25" customHeight="1" x14ac:dyDescent="0.25">
      <c r="A222" s="15">
        <v>153</v>
      </c>
      <c r="B222" s="16">
        <v>45907</v>
      </c>
      <c r="C222" s="17"/>
      <c r="D222" s="33"/>
      <c r="E222" s="33"/>
      <c r="F222" s="38"/>
      <c r="G222" s="106"/>
      <c r="H222" s="107"/>
      <c r="I222" s="107">
        <f>+H222*G207</f>
        <v>0</v>
      </c>
      <c r="J222" s="87"/>
      <c r="K222" s="15"/>
      <c r="L222" s="15"/>
      <c r="M222" s="32"/>
      <c r="N222" s="38"/>
    </row>
    <row r="223" spans="1:14" ht="11.25" customHeight="1" x14ac:dyDescent="0.25">
      <c r="A223" s="177">
        <v>154</v>
      </c>
      <c r="B223" s="16">
        <v>45908</v>
      </c>
      <c r="C223" s="178"/>
      <c r="D223" s="33"/>
      <c r="E223" s="33"/>
      <c r="F223" s="38"/>
      <c r="G223" s="106"/>
      <c r="H223" s="107"/>
      <c r="I223" s="107">
        <f t="shared" si="21"/>
        <v>0</v>
      </c>
      <c r="J223" s="127"/>
      <c r="K223" s="184"/>
      <c r="L223" s="100"/>
      <c r="M223" s="74"/>
      <c r="N223" s="34"/>
    </row>
    <row r="224" spans="1:14" s="134" customFormat="1" ht="11.25" customHeight="1" x14ac:dyDescent="0.25">
      <c r="A224" s="48" t="s">
        <v>60</v>
      </c>
      <c r="B224" s="114"/>
      <c r="C224" s="114"/>
      <c r="D224" s="51"/>
      <c r="E224" s="51"/>
      <c r="F224" s="51"/>
      <c r="G224" s="52">
        <f>SUM(G217:G223)</f>
        <v>0</v>
      </c>
      <c r="H224" s="54"/>
      <c r="I224" s="54">
        <f>SUM(I217:I223)</f>
        <v>0</v>
      </c>
      <c r="J224" s="127"/>
      <c r="K224" s="55">
        <f>SUM(K217:K223)</f>
        <v>0</v>
      </c>
      <c r="L224" s="11">
        <f>SUM(L221:L223)</f>
        <v>0</v>
      </c>
      <c r="M224" s="56"/>
      <c r="N224" s="11"/>
    </row>
    <row r="225" spans="1:14" ht="11.25" customHeight="1" x14ac:dyDescent="0.25">
      <c r="A225" s="57" t="s">
        <v>17</v>
      </c>
      <c r="B225" s="115"/>
      <c r="C225" s="115"/>
      <c r="D225" s="59"/>
      <c r="E225" s="59"/>
      <c r="F225" s="59"/>
      <c r="G225" s="61">
        <f>+G215+G224</f>
        <v>0</v>
      </c>
      <c r="H225" s="102"/>
      <c r="I225" s="63">
        <f>+I215+I224</f>
        <v>0</v>
      </c>
      <c r="J225" s="145"/>
      <c r="K225" s="65">
        <f>+K215+K224</f>
        <v>0</v>
      </c>
      <c r="L225" s="64">
        <f>+L215+L224</f>
        <v>0</v>
      </c>
      <c r="M225" s="56"/>
      <c r="N225" s="64"/>
    </row>
    <row r="226" spans="1:14" ht="11.25" customHeight="1" x14ac:dyDescent="0.25">
      <c r="B226"/>
      <c r="D226" s="78"/>
      <c r="E226" s="78"/>
      <c r="F226" s="78"/>
      <c r="G226" s="79"/>
      <c r="H226" s="80"/>
      <c r="I226" s="53"/>
      <c r="J226" s="32"/>
      <c r="K226" s="68"/>
      <c r="L226" s="32"/>
      <c r="M226" s="32"/>
      <c r="N226" s="78"/>
    </row>
    <row r="227" spans="1:14" ht="8.25" customHeight="1" x14ac:dyDescent="0.25">
      <c r="A227" s="69">
        <v>155</v>
      </c>
      <c r="B227" s="16">
        <v>45909</v>
      </c>
      <c r="C227" s="70" t="s">
        <v>61</v>
      </c>
      <c r="D227" s="24"/>
      <c r="E227" s="24"/>
      <c r="F227" s="24"/>
      <c r="G227" s="182"/>
      <c r="H227" s="105"/>
      <c r="I227" s="83">
        <f t="shared" ref="I227:I233" si="22">+H227*G227</f>
        <v>0</v>
      </c>
      <c r="J227" s="87"/>
      <c r="K227" s="31"/>
      <c r="L227" s="69"/>
      <c r="M227" s="32"/>
      <c r="N227" s="24"/>
    </row>
    <row r="228" spans="1:14" ht="11.25" customHeight="1" x14ac:dyDescent="0.25">
      <c r="A228" s="15">
        <v>156</v>
      </c>
      <c r="B228" s="16">
        <v>45910</v>
      </c>
      <c r="C228" s="17"/>
      <c r="D228" s="33"/>
      <c r="E228" s="33"/>
      <c r="F228" s="38"/>
      <c r="G228" s="106"/>
      <c r="H228" s="107"/>
      <c r="I228" s="107">
        <f t="shared" si="22"/>
        <v>0</v>
      </c>
      <c r="J228" s="87"/>
      <c r="K228" s="15"/>
      <c r="L228" s="15"/>
      <c r="M228" s="32"/>
      <c r="N228" s="38"/>
    </row>
    <row r="229" spans="1:14" ht="11.25" customHeight="1" x14ac:dyDescent="0.25">
      <c r="A229" s="15">
        <v>157</v>
      </c>
      <c r="B229" s="16">
        <v>45911</v>
      </c>
      <c r="C229" s="17"/>
      <c r="D229" s="33"/>
      <c r="E229" s="33"/>
      <c r="F229" s="38"/>
      <c r="G229" s="106"/>
      <c r="H229" s="107"/>
      <c r="I229" s="107">
        <f t="shared" si="22"/>
        <v>0</v>
      </c>
      <c r="J229" s="87"/>
      <c r="K229" s="15"/>
      <c r="L229" s="15"/>
      <c r="M229" s="32"/>
      <c r="N229" s="38"/>
    </row>
    <row r="230" spans="1:14" ht="11.25" customHeight="1" x14ac:dyDescent="0.25">
      <c r="A230" s="15">
        <v>158</v>
      </c>
      <c r="B230" s="16">
        <v>45912</v>
      </c>
      <c r="C230" s="17"/>
      <c r="D230" s="33"/>
      <c r="E230" s="33"/>
      <c r="F230" s="38"/>
      <c r="G230" s="106"/>
      <c r="H230" s="107"/>
      <c r="I230" s="107">
        <f t="shared" si="22"/>
        <v>0</v>
      </c>
      <c r="J230" s="87"/>
      <c r="K230" s="15"/>
      <c r="L230" s="15"/>
      <c r="M230" s="32"/>
      <c r="N230" s="38"/>
    </row>
    <row r="231" spans="1:14" ht="11.25" customHeight="1" x14ac:dyDescent="0.25">
      <c r="A231" s="15">
        <v>159</v>
      </c>
      <c r="B231" s="16">
        <v>45913</v>
      </c>
      <c r="C231" s="17"/>
      <c r="D231" s="33"/>
      <c r="E231" s="33"/>
      <c r="F231" s="38"/>
      <c r="G231" s="106"/>
      <c r="H231" s="107"/>
      <c r="I231" s="107">
        <f t="shared" si="22"/>
        <v>0</v>
      </c>
      <c r="J231" s="87"/>
      <c r="K231" s="15"/>
      <c r="L231" s="15"/>
      <c r="M231" s="32"/>
      <c r="N231" s="38"/>
    </row>
    <row r="232" spans="1:14" ht="11.25" customHeight="1" x14ac:dyDescent="0.25">
      <c r="A232" s="15">
        <v>160</v>
      </c>
      <c r="B232" s="16">
        <v>45914</v>
      </c>
      <c r="C232" s="17"/>
      <c r="D232" s="33"/>
      <c r="E232" s="33"/>
      <c r="F232" s="38"/>
      <c r="G232" s="106"/>
      <c r="H232" s="107"/>
      <c r="I232" s="107">
        <f t="shared" si="22"/>
        <v>0</v>
      </c>
      <c r="J232" s="87"/>
      <c r="K232" s="15"/>
      <c r="L232" s="15"/>
      <c r="M232" s="32"/>
      <c r="N232" s="38"/>
    </row>
    <row r="233" spans="1:14" ht="11.25" customHeight="1" x14ac:dyDescent="0.25">
      <c r="A233" s="177">
        <v>161</v>
      </c>
      <c r="B233" s="16">
        <v>45915</v>
      </c>
      <c r="C233" s="178"/>
      <c r="D233" s="26"/>
      <c r="E233" s="26"/>
      <c r="F233" s="34"/>
      <c r="G233" s="35"/>
      <c r="H233" s="36"/>
      <c r="I233" s="107">
        <f t="shared" si="22"/>
        <v>0</v>
      </c>
      <c r="J233" s="127"/>
      <c r="K233" s="184"/>
      <c r="L233" s="100"/>
      <c r="M233" s="74"/>
      <c r="N233" s="34"/>
    </row>
    <row r="234" spans="1:14" s="134" customFormat="1" ht="11.25" customHeight="1" x14ac:dyDescent="0.25">
      <c r="A234" s="48" t="s">
        <v>62</v>
      </c>
      <c r="B234" s="114"/>
      <c r="C234" s="114"/>
      <c r="D234" s="188"/>
      <c r="E234" s="188"/>
      <c r="F234" s="188"/>
      <c r="G234" s="52">
        <f>SUM(G227:G233)</f>
        <v>0</v>
      </c>
      <c r="H234" s="54"/>
      <c r="I234" s="54">
        <f>SUM(I227:I233)</f>
        <v>0</v>
      </c>
      <c r="J234" s="127"/>
      <c r="K234" s="55">
        <f>SUM(K227:K233)</f>
        <v>0</v>
      </c>
      <c r="L234" s="11">
        <f>SUM(L231:L233)</f>
        <v>0</v>
      </c>
      <c r="M234" s="56"/>
      <c r="N234" s="11"/>
    </row>
    <row r="235" spans="1:14" ht="11.25" customHeight="1" x14ac:dyDescent="0.25">
      <c r="A235" s="57" t="s">
        <v>17</v>
      </c>
      <c r="B235" s="115"/>
      <c r="C235" s="115"/>
      <c r="D235" s="189"/>
      <c r="E235" s="189"/>
      <c r="F235" s="189"/>
      <c r="G235" s="61">
        <f>+G225+G234</f>
        <v>0</v>
      </c>
      <c r="H235" s="102"/>
      <c r="I235" s="63">
        <f>+I225+I234</f>
        <v>0</v>
      </c>
      <c r="J235" s="145"/>
      <c r="K235" s="65">
        <f>+K225+K234</f>
        <v>0</v>
      </c>
      <c r="L235" s="64">
        <f>+L225+L234</f>
        <v>0</v>
      </c>
      <c r="M235" s="56"/>
      <c r="N235" s="64"/>
    </row>
    <row r="236" spans="1:14" ht="11.25" customHeight="1" x14ac:dyDescent="0.25">
      <c r="A236" s="69">
        <v>162</v>
      </c>
      <c r="B236" s="16">
        <v>45916</v>
      </c>
      <c r="C236" s="70" t="s">
        <v>63</v>
      </c>
      <c r="D236" s="33"/>
      <c r="E236" s="33"/>
      <c r="F236" s="24"/>
      <c r="G236" s="182"/>
      <c r="H236" s="105"/>
      <c r="I236" s="83">
        <f t="shared" ref="I236:I242" si="23">+H236*G236</f>
        <v>0</v>
      </c>
      <c r="J236" s="87"/>
      <c r="K236" s="31"/>
      <c r="L236" s="69"/>
      <c r="M236" s="32"/>
      <c r="N236" s="24"/>
    </row>
    <row r="237" spans="1:14" x14ac:dyDescent="0.25">
      <c r="A237" s="15">
        <v>163</v>
      </c>
      <c r="B237" s="16">
        <v>45917</v>
      </c>
      <c r="C237" s="17"/>
      <c r="D237" s="33"/>
      <c r="E237" s="33"/>
      <c r="F237" s="38"/>
      <c r="G237" s="106"/>
      <c r="H237" s="107"/>
      <c r="I237" s="107">
        <f t="shared" si="23"/>
        <v>0</v>
      </c>
      <c r="J237" s="87"/>
      <c r="K237" s="15"/>
      <c r="L237" s="15"/>
      <c r="M237" s="32"/>
      <c r="N237" s="38"/>
    </row>
    <row r="238" spans="1:14" x14ac:dyDescent="0.25">
      <c r="A238" s="15">
        <v>164</v>
      </c>
      <c r="B238" s="16">
        <v>45918</v>
      </c>
      <c r="C238" s="17"/>
      <c r="D238" s="33"/>
      <c r="E238" s="33"/>
      <c r="F238" s="38"/>
      <c r="G238" s="106"/>
      <c r="H238" s="107"/>
      <c r="I238" s="107">
        <f t="shared" si="23"/>
        <v>0</v>
      </c>
      <c r="J238" s="87"/>
      <c r="K238" s="15"/>
      <c r="L238" s="15"/>
      <c r="M238" s="32"/>
      <c r="N238" s="38"/>
    </row>
    <row r="239" spans="1:14" x14ac:dyDescent="0.25">
      <c r="A239" s="15">
        <v>165</v>
      </c>
      <c r="B239" s="16">
        <v>45919</v>
      </c>
      <c r="C239" s="17"/>
      <c r="D239" s="33"/>
      <c r="E239" s="33"/>
      <c r="F239" s="38"/>
      <c r="G239" s="106"/>
      <c r="H239" s="107"/>
      <c r="I239" s="107">
        <f t="shared" si="23"/>
        <v>0</v>
      </c>
      <c r="J239" s="87"/>
      <c r="K239" s="15"/>
      <c r="L239" s="15"/>
      <c r="M239" s="32"/>
      <c r="N239" s="38"/>
    </row>
    <row r="240" spans="1:14" x14ac:dyDescent="0.25">
      <c r="A240" s="15">
        <v>166</v>
      </c>
      <c r="B240" s="16">
        <v>45920</v>
      </c>
      <c r="C240" s="17"/>
      <c r="D240" s="33"/>
      <c r="E240" s="33"/>
      <c r="F240" s="38"/>
      <c r="G240" s="106"/>
      <c r="H240" s="107"/>
      <c r="I240" s="107">
        <f t="shared" si="23"/>
        <v>0</v>
      </c>
      <c r="J240" s="87"/>
      <c r="K240" s="15"/>
      <c r="L240" s="15"/>
      <c r="M240" s="32"/>
      <c r="N240" s="38"/>
    </row>
    <row r="241" spans="1:14" x14ac:dyDescent="0.25">
      <c r="A241" s="15">
        <v>167</v>
      </c>
      <c r="B241" s="16">
        <v>45921</v>
      </c>
      <c r="C241" s="17"/>
      <c r="D241" s="33"/>
      <c r="E241" s="33"/>
      <c r="F241" s="38"/>
      <c r="G241" s="106"/>
      <c r="H241" s="107"/>
      <c r="I241" s="107">
        <f t="shared" si="23"/>
        <v>0</v>
      </c>
      <c r="J241" s="87"/>
      <c r="K241" s="15"/>
      <c r="L241" s="15"/>
      <c r="M241" s="32"/>
      <c r="N241" s="38"/>
    </row>
    <row r="242" spans="1:14" x14ac:dyDescent="0.25">
      <c r="A242" s="177">
        <v>168</v>
      </c>
      <c r="B242" s="16">
        <v>45922</v>
      </c>
      <c r="C242" s="178"/>
      <c r="D242" s="26"/>
      <c r="E242" s="26"/>
      <c r="F242" s="34"/>
      <c r="G242" s="35"/>
      <c r="H242" s="36"/>
      <c r="I242" s="107">
        <f t="shared" si="23"/>
        <v>0</v>
      </c>
      <c r="J242" s="127"/>
      <c r="K242" s="184"/>
      <c r="L242" s="100"/>
      <c r="M242" s="74"/>
      <c r="N242" s="34"/>
    </row>
    <row r="243" spans="1:14" x14ac:dyDescent="0.25">
      <c r="A243" s="48" t="s">
        <v>64</v>
      </c>
      <c r="B243" s="114"/>
      <c r="C243" s="114"/>
      <c r="D243" s="188"/>
      <c r="E243" s="188"/>
      <c r="F243" s="188"/>
      <c r="G243" s="52">
        <f>SUM(G236:G242)</f>
        <v>0</v>
      </c>
      <c r="H243" s="54"/>
      <c r="I243" s="54">
        <f>SUM(I236:I242)</f>
        <v>0</v>
      </c>
      <c r="J243" s="127"/>
      <c r="K243" s="55">
        <f>SUM(K236:K242)</f>
        <v>0</v>
      </c>
      <c r="L243" s="11">
        <f>SUM(L240:L242)</f>
        <v>0</v>
      </c>
      <c r="M243" s="56"/>
      <c r="N243" s="11"/>
    </row>
    <row r="244" spans="1:14" x14ac:dyDescent="0.25">
      <c r="A244" s="57" t="s">
        <v>17</v>
      </c>
      <c r="B244" s="115"/>
      <c r="C244" s="115"/>
      <c r="D244" s="189"/>
      <c r="E244" s="189"/>
      <c r="F244" s="189"/>
      <c r="G244" s="61">
        <f>G235+G243</f>
        <v>0</v>
      </c>
      <c r="H244" s="102"/>
      <c r="I244" s="63">
        <f>I235+I243</f>
        <v>0</v>
      </c>
      <c r="J244" s="145"/>
      <c r="K244" s="65">
        <f>+K234+K243</f>
        <v>0</v>
      </c>
      <c r="L244" s="64">
        <f>+L234+L243</f>
        <v>0</v>
      </c>
      <c r="M244" s="56"/>
      <c r="N244" s="64"/>
    </row>
    <row r="245" spans="1:14" x14ac:dyDescent="0.25">
      <c r="A245" s="69">
        <v>169</v>
      </c>
      <c r="B245" s="16">
        <v>45923</v>
      </c>
      <c r="C245" s="70" t="s">
        <v>65</v>
      </c>
      <c r="D245" s="24"/>
      <c r="E245" s="24"/>
      <c r="F245" s="24"/>
      <c r="G245" s="182"/>
      <c r="H245" s="105"/>
      <c r="I245" s="83">
        <f t="shared" ref="I245:I251" si="24">+H245*G245</f>
        <v>0</v>
      </c>
      <c r="J245" s="87"/>
      <c r="K245" s="31"/>
      <c r="L245" s="69"/>
      <c r="M245" s="32"/>
      <c r="N245" s="24"/>
    </row>
    <row r="246" spans="1:14" x14ac:dyDescent="0.25">
      <c r="A246" s="15">
        <v>170</v>
      </c>
      <c r="B246" s="16">
        <v>45924</v>
      </c>
      <c r="C246" s="17"/>
      <c r="D246" s="33"/>
      <c r="E246" s="33"/>
      <c r="F246" s="38"/>
      <c r="G246" s="106"/>
      <c r="H246" s="107"/>
      <c r="I246" s="107">
        <f t="shared" si="24"/>
        <v>0</v>
      </c>
      <c r="J246" s="87"/>
      <c r="K246" s="15"/>
      <c r="L246" s="15"/>
      <c r="M246" s="32"/>
      <c r="N246" s="38"/>
    </row>
    <row r="247" spans="1:14" x14ac:dyDescent="0.25">
      <c r="A247" s="15">
        <v>171</v>
      </c>
      <c r="B247" s="16">
        <v>45925</v>
      </c>
      <c r="C247" s="17"/>
      <c r="D247" s="33"/>
      <c r="E247" s="33"/>
      <c r="F247" s="38"/>
      <c r="G247" s="106"/>
      <c r="H247" s="107"/>
      <c r="I247" s="107">
        <f t="shared" si="24"/>
        <v>0</v>
      </c>
      <c r="J247" s="87"/>
      <c r="K247" s="15"/>
      <c r="L247" s="15"/>
      <c r="M247" s="32"/>
      <c r="N247" s="38"/>
    </row>
    <row r="248" spans="1:14" x14ac:dyDescent="0.25">
      <c r="A248" s="15">
        <v>172</v>
      </c>
      <c r="B248" s="16">
        <v>45926</v>
      </c>
      <c r="C248" s="17"/>
      <c r="D248" s="33"/>
      <c r="E248" s="33"/>
      <c r="F248" s="38"/>
      <c r="G248" s="106"/>
      <c r="H248" s="107"/>
      <c r="I248" s="107">
        <f t="shared" si="24"/>
        <v>0</v>
      </c>
      <c r="J248" s="87"/>
      <c r="K248" s="15"/>
      <c r="L248" s="15"/>
      <c r="M248" s="32"/>
      <c r="N248" s="38"/>
    </row>
    <row r="249" spans="1:14" x14ac:dyDescent="0.25">
      <c r="A249" s="15">
        <v>173</v>
      </c>
      <c r="B249" s="16">
        <v>45927</v>
      </c>
      <c r="C249" s="17"/>
      <c r="D249" s="33"/>
      <c r="E249" s="33"/>
      <c r="F249" s="38"/>
      <c r="G249" s="106"/>
      <c r="H249" s="107"/>
      <c r="I249" s="107">
        <f t="shared" si="24"/>
        <v>0</v>
      </c>
      <c r="J249" s="87"/>
      <c r="K249" s="15"/>
      <c r="L249" s="15"/>
      <c r="M249" s="32"/>
      <c r="N249" s="38"/>
    </row>
    <row r="250" spans="1:14" x14ac:dyDescent="0.25">
      <c r="A250" s="15">
        <v>174</v>
      </c>
      <c r="B250" s="16">
        <v>45928</v>
      </c>
      <c r="C250" s="17"/>
      <c r="D250" s="33"/>
      <c r="E250" s="33"/>
      <c r="F250" s="38"/>
      <c r="G250" s="106"/>
      <c r="H250" s="107"/>
      <c r="I250" s="107">
        <f t="shared" si="24"/>
        <v>0</v>
      </c>
      <c r="J250" s="87"/>
      <c r="K250" s="15"/>
      <c r="L250" s="15"/>
      <c r="M250" s="32"/>
      <c r="N250" s="38"/>
    </row>
    <row r="251" spans="1:14" x14ac:dyDescent="0.25">
      <c r="A251" s="177">
        <v>175</v>
      </c>
      <c r="B251" s="16">
        <v>45929</v>
      </c>
      <c r="C251" s="178"/>
      <c r="D251" s="26"/>
      <c r="E251" s="26"/>
      <c r="F251" s="34"/>
      <c r="G251" s="35"/>
      <c r="H251" s="36"/>
      <c r="I251" s="107">
        <f t="shared" si="24"/>
        <v>0</v>
      </c>
      <c r="J251" s="127"/>
      <c r="K251" s="184"/>
      <c r="L251" s="100"/>
      <c r="M251" s="74"/>
      <c r="N251" s="34"/>
    </row>
    <row r="252" spans="1:14" x14ac:dyDescent="0.25">
      <c r="A252" s="48" t="s">
        <v>66</v>
      </c>
      <c r="B252" s="114"/>
      <c r="C252" s="114"/>
      <c r="D252" s="188"/>
      <c r="E252" s="188"/>
      <c r="F252" s="188"/>
      <c r="G252" s="52">
        <f>SUM(G245:G251)</f>
        <v>0</v>
      </c>
      <c r="H252" s="54"/>
      <c r="I252" s="54">
        <f>SUM(I245:I251)</f>
        <v>0</v>
      </c>
      <c r="J252" s="127"/>
      <c r="K252" s="55">
        <f>SUM(K245:K251)</f>
        <v>0</v>
      </c>
      <c r="L252" s="11">
        <f>SUM(L249:L251)</f>
        <v>0</v>
      </c>
      <c r="M252" s="56"/>
      <c r="N252" s="11"/>
    </row>
    <row r="253" spans="1:14" x14ac:dyDescent="0.25">
      <c r="A253" s="57" t="s">
        <v>17</v>
      </c>
      <c r="B253" s="115"/>
      <c r="C253" s="115"/>
      <c r="D253" s="189"/>
      <c r="E253" s="189"/>
      <c r="F253" s="189"/>
      <c r="G253" s="61">
        <f>G244+G252</f>
        <v>0</v>
      </c>
      <c r="H253" s="102"/>
      <c r="I253" s="63">
        <f>I244+I252</f>
        <v>0</v>
      </c>
      <c r="J253" s="145"/>
      <c r="K253" s="65">
        <f>+K243+K252</f>
        <v>0</v>
      </c>
      <c r="L253" s="64">
        <f>+L243+L252</f>
        <v>0</v>
      </c>
      <c r="M253" s="56"/>
      <c r="N253" s="64"/>
    </row>
    <row r="255" spans="1:14" x14ac:dyDescent="0.25">
      <c r="G255" s="190"/>
    </row>
    <row r="256" spans="1:14" x14ac:dyDescent="0.25">
      <c r="G256" s="190"/>
    </row>
    <row r="257" spans="4:7" x14ac:dyDescent="0.25">
      <c r="G257" s="190"/>
    </row>
    <row r="258" spans="4:7" x14ac:dyDescent="0.25">
      <c r="G258" s="190"/>
    </row>
    <row r="259" spans="4:7" x14ac:dyDescent="0.25">
      <c r="G259" s="190"/>
    </row>
    <row r="260" spans="4:7" x14ac:dyDescent="0.25">
      <c r="D260" s="3"/>
      <c r="G260" s="1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YASSIR</dc:creator>
  <cp:lastModifiedBy>SABER YASSIR</cp:lastModifiedBy>
  <dcterms:created xsi:type="dcterms:W3CDTF">2026-02-14T10:53:03Z</dcterms:created>
  <dcterms:modified xsi:type="dcterms:W3CDTF">2026-02-14T10:54:31Z</dcterms:modified>
</cp:coreProperties>
</file>